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Ex1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6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7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epankar\Desktop\Coding Ninjas\Excel\"/>
    </mc:Choice>
  </mc:AlternateContent>
  <xr:revisionPtr revIDLastSave="0" documentId="13_ncr:1_{6A4AA52F-11E6-41D6-9B56-DBF396037163}" xr6:coauthVersionLast="47" xr6:coauthVersionMax="47" xr10:uidLastSave="{00000000-0000-0000-0000-000000000000}"/>
  <bookViews>
    <workbookView xWindow="-110" yWindow="-110" windowWidth="19420" windowHeight="11500" firstSheet="5" activeTab="8" xr2:uid="{6F61C477-AB2E-4C23-9A61-44FCA3CDCB8F}"/>
  </bookViews>
  <sheets>
    <sheet name="Raw Data" sheetId="1" r:id="rId1"/>
    <sheet name="Clean Data" sheetId="2" r:id="rId2"/>
    <sheet name="Working Data" sheetId="6" r:id="rId3"/>
    <sheet name="Bucket" sheetId="3" r:id="rId4"/>
    <sheet name="Impute housing Missing Value" sheetId="4" r:id="rId5"/>
    <sheet name="Question 1st" sheetId="7" r:id="rId6"/>
    <sheet name="Question 2nd" sheetId="9" r:id="rId7"/>
    <sheet name="Question 3 -a" sheetId="11" r:id="rId8"/>
    <sheet name="Question 3 -b" sheetId="12" r:id="rId9"/>
    <sheet name="Question 4" sheetId="13" r:id="rId10"/>
    <sheet name="Question 5" sheetId="14" r:id="rId11"/>
  </sheets>
  <definedNames>
    <definedName name="_xlnm._FilterDatabase" localSheetId="1" hidden="1">'Clean Data'!$B$1:$AE$373</definedName>
    <definedName name="_xlnm._FilterDatabase" localSheetId="6" hidden="1">'Question 2nd'!$A$1:$E$373</definedName>
    <definedName name="_xlnm._FilterDatabase" localSheetId="7" hidden="1">'Question 3 -a'!$A$1:$D$40</definedName>
    <definedName name="_xlnm._FilterDatabase" localSheetId="8" hidden="1">'Question 3 -b'!$A$1:$P$7</definedName>
    <definedName name="_xlnm._FilterDatabase" localSheetId="9" hidden="1">'Question 4'!$A$1:$P$70</definedName>
    <definedName name="_xlnm._FilterDatabase" localSheetId="2" hidden="1">'Working Data'!$A$1:$AK$373</definedName>
    <definedName name="_xlchart.v1.0" hidden="1">'Question 3 -a'!$C$7:$C$40</definedName>
    <definedName name="_xlchart.v1.1" hidden="1">'Question 3 -a'!$F$7:$F$40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11" l="1"/>
  <c r="L33" i="14"/>
  <c r="M33" i="14"/>
  <c r="N33" i="14"/>
  <c r="O33" i="14"/>
  <c r="P33" i="14"/>
  <c r="Q33" i="14"/>
  <c r="R33" i="14"/>
  <c r="S33" i="14"/>
  <c r="T33" i="14"/>
  <c r="U33" i="14"/>
  <c r="V33" i="14"/>
  <c r="W33" i="14"/>
  <c r="X33" i="14"/>
  <c r="Y33" i="14"/>
  <c r="Z33" i="14"/>
  <c r="AA33" i="14"/>
  <c r="AB33" i="14"/>
  <c r="AC33" i="14"/>
  <c r="AD33" i="14"/>
  <c r="AE33" i="14"/>
  <c r="AF33" i="14"/>
  <c r="AG33" i="14"/>
  <c r="AH33" i="14"/>
  <c r="AI33" i="14"/>
  <c r="AJ33" i="14"/>
  <c r="K33" i="14"/>
  <c r="J33" i="14"/>
  <c r="A6" i="14"/>
  <c r="A7" i="14"/>
  <c r="A8" i="14"/>
  <c r="A9" i="14"/>
  <c r="A10" i="14"/>
  <c r="A11" i="14"/>
  <c r="A12" i="14"/>
  <c r="A13" i="14"/>
  <c r="A14" i="14"/>
  <c r="A15" i="14"/>
  <c r="A16" i="14"/>
  <c r="A17" i="14"/>
  <c r="A18" i="14"/>
  <c r="A19" i="14"/>
  <c r="A20" i="14"/>
  <c r="A21" i="14"/>
  <c r="A22" i="14"/>
  <c r="A23" i="14"/>
  <c r="A24" i="14"/>
  <c r="A25" i="14"/>
  <c r="A26" i="14"/>
  <c r="A27" i="14"/>
  <c r="A28" i="14"/>
  <c r="A29" i="14"/>
  <c r="A30" i="14"/>
  <c r="A31" i="14"/>
  <c r="A32" i="14"/>
  <c r="A33" i="14"/>
  <c r="A5" i="14"/>
  <c r="E5" i="13"/>
  <c r="H6" i="13"/>
  <c r="N9" i="13"/>
  <c r="K9" i="13"/>
  <c r="H9" i="13"/>
  <c r="N10" i="13"/>
  <c r="K10" i="13"/>
  <c r="H10" i="13"/>
  <c r="E10" i="13"/>
  <c r="E9" i="13"/>
  <c r="N69" i="13"/>
  <c r="N66" i="13"/>
  <c r="N63" i="13"/>
  <c r="N60" i="13"/>
  <c r="N57" i="13"/>
  <c r="N54" i="13"/>
  <c r="N51" i="13"/>
  <c r="N48" i="13"/>
  <c r="N45" i="13"/>
  <c r="N39" i="13"/>
  <c r="N36" i="13"/>
  <c r="N33" i="13"/>
  <c r="N30" i="13"/>
  <c r="N27" i="13"/>
  <c r="N24" i="13"/>
  <c r="N21" i="13"/>
  <c r="N18" i="13"/>
  <c r="N15" i="13"/>
  <c r="N12" i="13"/>
  <c r="N6" i="13"/>
  <c r="K69" i="13"/>
  <c r="K66" i="13"/>
  <c r="K63" i="13"/>
  <c r="K60" i="13"/>
  <c r="K57" i="13"/>
  <c r="K54" i="13"/>
  <c r="K51" i="13"/>
  <c r="K48" i="13"/>
  <c r="K45" i="13"/>
  <c r="K39" i="13"/>
  <c r="K36" i="13"/>
  <c r="K33" i="13"/>
  <c r="K30" i="13"/>
  <c r="K27" i="13"/>
  <c r="K24" i="13"/>
  <c r="K21" i="13"/>
  <c r="K18" i="13"/>
  <c r="K15" i="13"/>
  <c r="K12" i="13"/>
  <c r="K6" i="13"/>
  <c r="H69" i="13"/>
  <c r="H66" i="13"/>
  <c r="H63" i="13"/>
  <c r="H60" i="13"/>
  <c r="H57" i="13"/>
  <c r="H54" i="13"/>
  <c r="H51" i="13"/>
  <c r="H48" i="13"/>
  <c r="H45" i="13"/>
  <c r="H39" i="13"/>
  <c r="H36" i="13"/>
  <c r="H33" i="13"/>
  <c r="H30" i="13"/>
  <c r="H27" i="13"/>
  <c r="H24" i="13"/>
  <c r="H21" i="13"/>
  <c r="H18" i="13"/>
  <c r="H15" i="13"/>
  <c r="H12" i="13"/>
  <c r="E69" i="13"/>
  <c r="E66" i="13"/>
  <c r="E63" i="13"/>
  <c r="E60" i="13"/>
  <c r="E57" i="13"/>
  <c r="E54" i="13"/>
  <c r="E51" i="13"/>
  <c r="E48" i="13"/>
  <c r="E45" i="13"/>
  <c r="E39" i="13"/>
  <c r="E36" i="13"/>
  <c r="E33" i="13"/>
  <c r="E30" i="13"/>
  <c r="E27" i="13"/>
  <c r="E24" i="13"/>
  <c r="E21" i="13"/>
  <c r="E18" i="13"/>
  <c r="E15" i="13"/>
  <c r="E12" i="13"/>
  <c r="E6" i="13"/>
  <c r="N70" i="13"/>
  <c r="N67" i="13"/>
  <c r="N64" i="13"/>
  <c r="N61" i="13"/>
  <c r="N58" i="13"/>
  <c r="N55" i="13"/>
  <c r="N52" i="13"/>
  <c r="N49" i="13"/>
  <c r="N46" i="13"/>
  <c r="N40" i="13"/>
  <c r="N37" i="13"/>
  <c r="N34" i="13"/>
  <c r="N31" i="13"/>
  <c r="N28" i="13"/>
  <c r="N25" i="13"/>
  <c r="N22" i="13"/>
  <c r="N19" i="13"/>
  <c r="N16" i="13"/>
  <c r="N13" i="13"/>
  <c r="N7" i="13"/>
  <c r="K70" i="13"/>
  <c r="K67" i="13"/>
  <c r="K64" i="13"/>
  <c r="K61" i="13"/>
  <c r="K58" i="13"/>
  <c r="K55" i="13"/>
  <c r="K52" i="13"/>
  <c r="K49" i="13"/>
  <c r="K46" i="13"/>
  <c r="K40" i="13"/>
  <c r="K37" i="13"/>
  <c r="K34" i="13"/>
  <c r="K31" i="13"/>
  <c r="K28" i="13"/>
  <c r="K25" i="13"/>
  <c r="K22" i="13"/>
  <c r="K19" i="13"/>
  <c r="K16" i="13"/>
  <c r="K13" i="13"/>
  <c r="K7" i="13"/>
  <c r="H70" i="13"/>
  <c r="H67" i="13"/>
  <c r="H64" i="13"/>
  <c r="H61" i="13"/>
  <c r="H58" i="13"/>
  <c r="H55" i="13"/>
  <c r="H52" i="13"/>
  <c r="H49" i="13"/>
  <c r="H46" i="13"/>
  <c r="H40" i="13"/>
  <c r="H37" i="13"/>
  <c r="H34" i="13"/>
  <c r="H31" i="13"/>
  <c r="H28" i="13"/>
  <c r="H25" i="13"/>
  <c r="H22" i="13"/>
  <c r="H19" i="13"/>
  <c r="H16" i="13"/>
  <c r="H13" i="13"/>
  <c r="H7" i="13"/>
  <c r="E70" i="13"/>
  <c r="E67" i="13"/>
  <c r="E64" i="13"/>
  <c r="E61" i="13"/>
  <c r="E58" i="13"/>
  <c r="E55" i="13"/>
  <c r="E52" i="13"/>
  <c r="E49" i="13"/>
  <c r="E46" i="13"/>
  <c r="E40" i="13"/>
  <c r="E37" i="13"/>
  <c r="E34" i="13"/>
  <c r="E31" i="13"/>
  <c r="E28" i="13"/>
  <c r="E25" i="13"/>
  <c r="E22" i="13"/>
  <c r="E19" i="13"/>
  <c r="E16" i="13"/>
  <c r="E13" i="13"/>
  <c r="E7" i="13"/>
  <c r="N68" i="13"/>
  <c r="N65" i="13"/>
  <c r="N62" i="13"/>
  <c r="N59" i="13"/>
  <c r="N56" i="13"/>
  <c r="N53" i="13"/>
  <c r="N50" i="13"/>
  <c r="N47" i="13"/>
  <c r="N44" i="13"/>
  <c r="N38" i="13"/>
  <c r="N35" i="13"/>
  <c r="N32" i="13"/>
  <c r="N29" i="13"/>
  <c r="N26" i="13"/>
  <c r="N23" i="13"/>
  <c r="N20" i="13"/>
  <c r="N17" i="13"/>
  <c r="N14" i="13"/>
  <c r="N11" i="13"/>
  <c r="N8" i="13"/>
  <c r="N5" i="13"/>
  <c r="K68" i="13"/>
  <c r="K65" i="13"/>
  <c r="K62" i="13"/>
  <c r="K59" i="13"/>
  <c r="K56" i="13"/>
  <c r="K53" i="13"/>
  <c r="K50" i="13"/>
  <c r="K47" i="13"/>
  <c r="K44" i="13"/>
  <c r="K38" i="13"/>
  <c r="K35" i="13"/>
  <c r="K32" i="13"/>
  <c r="K29" i="13"/>
  <c r="K26" i="13"/>
  <c r="K23" i="13"/>
  <c r="K20" i="13"/>
  <c r="K17" i="13"/>
  <c r="K14" i="13"/>
  <c r="K11" i="13"/>
  <c r="K8" i="13"/>
  <c r="K5" i="13"/>
  <c r="H68" i="13"/>
  <c r="H65" i="13"/>
  <c r="H62" i="13"/>
  <c r="H59" i="13"/>
  <c r="H56" i="13"/>
  <c r="H53" i="13"/>
  <c r="H50" i="13"/>
  <c r="H47" i="13"/>
  <c r="H44" i="13"/>
  <c r="H38" i="13"/>
  <c r="H35" i="13"/>
  <c r="H32" i="13"/>
  <c r="H29" i="13"/>
  <c r="H26" i="13"/>
  <c r="H23" i="13"/>
  <c r="H20" i="13"/>
  <c r="H17" i="13"/>
  <c r="H14" i="13"/>
  <c r="H11" i="13"/>
  <c r="H8" i="13"/>
  <c r="H5" i="13"/>
  <c r="E68" i="13"/>
  <c r="E65" i="13"/>
  <c r="E62" i="13"/>
  <c r="E59" i="13"/>
  <c r="E56" i="13"/>
  <c r="E53" i="13"/>
  <c r="E50" i="13"/>
  <c r="E47" i="13"/>
  <c r="E44" i="13"/>
  <c r="E38" i="13"/>
  <c r="E35" i="13"/>
  <c r="E32" i="13"/>
  <c r="E29" i="13"/>
  <c r="E26" i="13"/>
  <c r="E23" i="13"/>
  <c r="E20" i="13"/>
  <c r="E17" i="13"/>
  <c r="E14" i="13"/>
  <c r="E11" i="13"/>
  <c r="E8" i="13"/>
  <c r="D17" i="12"/>
  <c r="E17" i="12"/>
  <c r="F17" i="12"/>
  <c r="G17" i="12"/>
  <c r="H17" i="12"/>
  <c r="I17" i="12"/>
  <c r="J17" i="12"/>
  <c r="K17" i="12"/>
  <c r="L17" i="12"/>
  <c r="M17" i="12"/>
  <c r="N17" i="12"/>
  <c r="O17" i="12"/>
  <c r="D16" i="12"/>
  <c r="E16" i="12"/>
  <c r="F16" i="12"/>
  <c r="G16" i="12"/>
  <c r="H16" i="12"/>
  <c r="I16" i="12"/>
  <c r="J16" i="12"/>
  <c r="K16" i="12"/>
  <c r="L16" i="12"/>
  <c r="M16" i="12"/>
  <c r="N16" i="12"/>
  <c r="O16" i="12"/>
  <c r="E15" i="12"/>
  <c r="F15" i="12"/>
  <c r="G15" i="12"/>
  <c r="H15" i="12"/>
  <c r="I15" i="12"/>
  <c r="J15" i="12"/>
  <c r="K15" i="12"/>
  <c r="L15" i="12"/>
  <c r="M15" i="12"/>
  <c r="N15" i="12"/>
  <c r="O15" i="12"/>
  <c r="D15" i="12"/>
  <c r="C17" i="12"/>
  <c r="C16" i="12"/>
  <c r="C15" i="12"/>
  <c r="F39" i="11"/>
  <c r="F36" i="11"/>
  <c r="F33" i="11"/>
  <c r="F30" i="11"/>
  <c r="F27" i="11"/>
  <c r="F24" i="11"/>
  <c r="F21" i="11"/>
  <c r="F18" i="11"/>
  <c r="F15" i="11"/>
  <c r="F12" i="11"/>
  <c r="F9" i="11"/>
  <c r="F6" i="11"/>
  <c r="F40" i="11"/>
  <c r="F10" i="11"/>
  <c r="F13" i="11"/>
  <c r="F16" i="11"/>
  <c r="F19" i="11"/>
  <c r="F22" i="11"/>
  <c r="F25" i="11"/>
  <c r="F28" i="11"/>
  <c r="F31" i="11"/>
  <c r="F34" i="11"/>
  <c r="F37" i="11"/>
  <c r="F38" i="11"/>
  <c r="F35" i="11"/>
  <c r="F32" i="11"/>
  <c r="F29" i="11"/>
  <c r="F26" i="11"/>
  <c r="F23" i="11"/>
  <c r="F20" i="11"/>
  <c r="F17" i="11"/>
  <c r="F14" i="11"/>
  <c r="F11" i="11"/>
  <c r="F8" i="11"/>
  <c r="F5" i="11"/>
  <c r="G358" i="9"/>
  <c r="G322" i="9"/>
  <c r="G286" i="9"/>
  <c r="G250" i="9"/>
  <c r="G217" i="9"/>
  <c r="G181" i="9"/>
  <c r="G355" i="9"/>
  <c r="G319" i="9"/>
  <c r="G283" i="9"/>
  <c r="G247" i="9"/>
  <c r="G214" i="9"/>
  <c r="G178" i="9"/>
  <c r="G352" i="9"/>
  <c r="G316" i="9"/>
  <c r="G280" i="9"/>
  <c r="G244" i="9"/>
  <c r="G211" i="9"/>
  <c r="G175" i="9"/>
  <c r="G349" i="9"/>
  <c r="G313" i="9"/>
  <c r="G277" i="9"/>
  <c r="G241" i="9"/>
  <c r="G208" i="9"/>
  <c r="G172" i="9"/>
  <c r="G346" i="9"/>
  <c r="G310" i="9"/>
  <c r="G274" i="9"/>
  <c r="G238" i="9"/>
  <c r="G205" i="9"/>
  <c r="G169" i="9"/>
  <c r="G343" i="9"/>
  <c r="G307" i="9"/>
  <c r="G271" i="9"/>
  <c r="G235" i="9"/>
  <c r="G202" i="9"/>
  <c r="G166" i="9"/>
  <c r="G340" i="9"/>
  <c r="G304" i="9"/>
  <c r="G268" i="9"/>
  <c r="G232" i="9"/>
  <c r="G199" i="9"/>
  <c r="G163" i="9"/>
  <c r="G373" i="9"/>
  <c r="G337" i="9"/>
  <c r="G229" i="9"/>
  <c r="G196" i="9"/>
  <c r="G160" i="9"/>
  <c r="G370" i="9"/>
  <c r="G334" i="9"/>
  <c r="G193" i="9"/>
  <c r="G157" i="9"/>
  <c r="G367" i="9"/>
  <c r="G331" i="9"/>
  <c r="G295" i="9"/>
  <c r="G259" i="9"/>
  <c r="G226" i="9"/>
  <c r="G190" i="9"/>
  <c r="G154" i="9"/>
  <c r="G364" i="9"/>
  <c r="G328" i="9"/>
  <c r="G292" i="9"/>
  <c r="G256" i="9"/>
  <c r="G223" i="9"/>
  <c r="G187" i="9"/>
  <c r="G151" i="9"/>
  <c r="G361" i="9"/>
  <c r="G325" i="9"/>
  <c r="G289" i="9"/>
  <c r="G253" i="9"/>
  <c r="G220" i="9"/>
  <c r="G184" i="9"/>
  <c r="G148" i="9"/>
  <c r="E265" i="9"/>
  <c r="E264" i="9"/>
  <c r="E263" i="9"/>
  <c r="E260" i="9" s="1"/>
  <c r="E262" i="9"/>
  <c r="E261" i="9"/>
  <c r="D33" i="7"/>
  <c r="D32" i="7"/>
  <c r="D25" i="7"/>
  <c r="I9" i="7"/>
  <c r="I10" i="7"/>
  <c r="I8" i="7"/>
  <c r="D18" i="7" s="1"/>
  <c r="AK3" i="6"/>
  <c r="AK4" i="6"/>
  <c r="AK5" i="6"/>
  <c r="AK6" i="6"/>
  <c r="AK7" i="6"/>
  <c r="AK8" i="6"/>
  <c r="AK9" i="6"/>
  <c r="AK10" i="6"/>
  <c r="AK11" i="6"/>
  <c r="AK12" i="6"/>
  <c r="AK13" i="6"/>
  <c r="AK14" i="6"/>
  <c r="AK15" i="6"/>
  <c r="AK16" i="6"/>
  <c r="AK17" i="6"/>
  <c r="AK18" i="6"/>
  <c r="AK19" i="6"/>
  <c r="AK20" i="6"/>
  <c r="AK21" i="6"/>
  <c r="AK22" i="6"/>
  <c r="AK23" i="6"/>
  <c r="AK24" i="6"/>
  <c r="AK25" i="6"/>
  <c r="AK26" i="6"/>
  <c r="AK27" i="6"/>
  <c r="AK28" i="6"/>
  <c r="AK29" i="6"/>
  <c r="AK30" i="6"/>
  <c r="AK31" i="6"/>
  <c r="AK32" i="6"/>
  <c r="AK33" i="6"/>
  <c r="AK34" i="6"/>
  <c r="AK35" i="6"/>
  <c r="AK36" i="6"/>
  <c r="AK37" i="6"/>
  <c r="AK38" i="6"/>
  <c r="AK39" i="6"/>
  <c r="AK40" i="6"/>
  <c r="AK41" i="6"/>
  <c r="AK42" i="6"/>
  <c r="AK43" i="6"/>
  <c r="AK44" i="6"/>
  <c r="AK45" i="6"/>
  <c r="AK46" i="6"/>
  <c r="AK47" i="6"/>
  <c r="AK48" i="6"/>
  <c r="AK49" i="6"/>
  <c r="AK50" i="6"/>
  <c r="AK51" i="6"/>
  <c r="AK52" i="6"/>
  <c r="AK53" i="6"/>
  <c r="AK54" i="6"/>
  <c r="AK55" i="6"/>
  <c r="AK56" i="6"/>
  <c r="AK57" i="6"/>
  <c r="AK58" i="6"/>
  <c r="AK59" i="6"/>
  <c r="AK60" i="6"/>
  <c r="AK61" i="6"/>
  <c r="AK62" i="6"/>
  <c r="AK63" i="6"/>
  <c r="AK64" i="6"/>
  <c r="AK65" i="6"/>
  <c r="AK66" i="6"/>
  <c r="AK67" i="6"/>
  <c r="AK68" i="6"/>
  <c r="AK69" i="6"/>
  <c r="AK70" i="6"/>
  <c r="AK71" i="6"/>
  <c r="AK72" i="6"/>
  <c r="AK73" i="6"/>
  <c r="AK74" i="6"/>
  <c r="AK75" i="6"/>
  <c r="AK76" i="6"/>
  <c r="AK77" i="6"/>
  <c r="AK78" i="6"/>
  <c r="AK79" i="6"/>
  <c r="AK80" i="6"/>
  <c r="AK81" i="6"/>
  <c r="AK82" i="6"/>
  <c r="AK83" i="6"/>
  <c r="AK84" i="6"/>
  <c r="AK85" i="6"/>
  <c r="AK86" i="6"/>
  <c r="AK87" i="6"/>
  <c r="AK88" i="6"/>
  <c r="AK89" i="6"/>
  <c r="AK90" i="6"/>
  <c r="AK91" i="6"/>
  <c r="AK92" i="6"/>
  <c r="AK93" i="6"/>
  <c r="AK94" i="6"/>
  <c r="AK95" i="6"/>
  <c r="AK96" i="6"/>
  <c r="AK97" i="6"/>
  <c r="AK98" i="6"/>
  <c r="AK99" i="6"/>
  <c r="AK100" i="6"/>
  <c r="AK101" i="6"/>
  <c r="AK102" i="6"/>
  <c r="AK103" i="6"/>
  <c r="AK104" i="6"/>
  <c r="AK105" i="6"/>
  <c r="AK106" i="6"/>
  <c r="AK107" i="6"/>
  <c r="AK108" i="6"/>
  <c r="AK109" i="6"/>
  <c r="AK110" i="6"/>
  <c r="AK111" i="6"/>
  <c r="AK112" i="6"/>
  <c r="AK113" i="6"/>
  <c r="AK114" i="6"/>
  <c r="AK115" i="6"/>
  <c r="AK116" i="6"/>
  <c r="AK117" i="6"/>
  <c r="AK118" i="6"/>
  <c r="AK119" i="6"/>
  <c r="AK120" i="6"/>
  <c r="AK121" i="6"/>
  <c r="AK122" i="6"/>
  <c r="AK123" i="6"/>
  <c r="AK124" i="6"/>
  <c r="AK125" i="6"/>
  <c r="AK126" i="6"/>
  <c r="AK127" i="6"/>
  <c r="AK128" i="6"/>
  <c r="AK129" i="6"/>
  <c r="AK130" i="6"/>
  <c r="AK131" i="6"/>
  <c r="AK132" i="6"/>
  <c r="AK133" i="6"/>
  <c r="AK134" i="6"/>
  <c r="AK135" i="6"/>
  <c r="AK136" i="6"/>
  <c r="AK137" i="6"/>
  <c r="AK138" i="6"/>
  <c r="AK139" i="6"/>
  <c r="AK140" i="6"/>
  <c r="AK141" i="6"/>
  <c r="AK142" i="6"/>
  <c r="AK143" i="6"/>
  <c r="AK144" i="6"/>
  <c r="AK145" i="6"/>
  <c r="AK146" i="6"/>
  <c r="AK147" i="6"/>
  <c r="AK148" i="6"/>
  <c r="AK149" i="6"/>
  <c r="AK150" i="6"/>
  <c r="AK151" i="6"/>
  <c r="AK152" i="6"/>
  <c r="AK153" i="6"/>
  <c r="AK154" i="6"/>
  <c r="AK155" i="6"/>
  <c r="AK156" i="6"/>
  <c r="AK157" i="6"/>
  <c r="AK158" i="6"/>
  <c r="AK159" i="6"/>
  <c r="AK160" i="6"/>
  <c r="AK161" i="6"/>
  <c r="AK162" i="6"/>
  <c r="AK163" i="6"/>
  <c r="AK164" i="6"/>
  <c r="AK165" i="6"/>
  <c r="AK166" i="6"/>
  <c r="AK167" i="6"/>
  <c r="AK168" i="6"/>
  <c r="AK169" i="6"/>
  <c r="AK170" i="6"/>
  <c r="AK171" i="6"/>
  <c r="AK172" i="6"/>
  <c r="AK173" i="6"/>
  <c r="AK174" i="6"/>
  <c r="AK175" i="6"/>
  <c r="AK176" i="6"/>
  <c r="AK177" i="6"/>
  <c r="AK178" i="6"/>
  <c r="AK179" i="6"/>
  <c r="AK180" i="6"/>
  <c r="AK181" i="6"/>
  <c r="AK182" i="6"/>
  <c r="AK183" i="6"/>
  <c r="AK184" i="6"/>
  <c r="AK185" i="6"/>
  <c r="AK186" i="6"/>
  <c r="AK187" i="6"/>
  <c r="AK188" i="6"/>
  <c r="AK189" i="6"/>
  <c r="AK190" i="6"/>
  <c r="AK191" i="6"/>
  <c r="AK192" i="6"/>
  <c r="AK193" i="6"/>
  <c r="AK194" i="6"/>
  <c r="AK195" i="6"/>
  <c r="AK196" i="6"/>
  <c r="AK197" i="6"/>
  <c r="AK198" i="6"/>
  <c r="AK199" i="6"/>
  <c r="AK200" i="6"/>
  <c r="AK201" i="6"/>
  <c r="AK202" i="6"/>
  <c r="AK203" i="6"/>
  <c r="AK204" i="6"/>
  <c r="AK205" i="6"/>
  <c r="AK206" i="6"/>
  <c r="AK207" i="6"/>
  <c r="AK208" i="6"/>
  <c r="AK209" i="6"/>
  <c r="AK210" i="6"/>
  <c r="AK211" i="6"/>
  <c r="AK212" i="6"/>
  <c r="AK213" i="6"/>
  <c r="AK214" i="6"/>
  <c r="AK215" i="6"/>
  <c r="AK216" i="6"/>
  <c r="AK217" i="6"/>
  <c r="AK218" i="6"/>
  <c r="AK219" i="6"/>
  <c r="AK220" i="6"/>
  <c r="AK221" i="6"/>
  <c r="AK222" i="6"/>
  <c r="AK223" i="6"/>
  <c r="AK224" i="6"/>
  <c r="AK225" i="6"/>
  <c r="AK226" i="6"/>
  <c r="AK227" i="6"/>
  <c r="AK228" i="6"/>
  <c r="AK229" i="6"/>
  <c r="AK230" i="6"/>
  <c r="AK231" i="6"/>
  <c r="AK232" i="6"/>
  <c r="AK233" i="6"/>
  <c r="AK234" i="6"/>
  <c r="AK235" i="6"/>
  <c r="AK236" i="6"/>
  <c r="AK237" i="6"/>
  <c r="AK238" i="6"/>
  <c r="AK239" i="6"/>
  <c r="AK240" i="6"/>
  <c r="AK241" i="6"/>
  <c r="AK242" i="6"/>
  <c r="AK243" i="6"/>
  <c r="AK244" i="6"/>
  <c r="AK245" i="6"/>
  <c r="AK246" i="6"/>
  <c r="AK247" i="6"/>
  <c r="AK248" i="6"/>
  <c r="AK249" i="6"/>
  <c r="AK250" i="6"/>
  <c r="AK251" i="6"/>
  <c r="AK252" i="6"/>
  <c r="AK253" i="6"/>
  <c r="AK254" i="6"/>
  <c r="AK255" i="6"/>
  <c r="AK256" i="6"/>
  <c r="AK257" i="6"/>
  <c r="AK258" i="6"/>
  <c r="AK259" i="6"/>
  <c r="AK266" i="6"/>
  <c r="AK267" i="6"/>
  <c r="AK268" i="6"/>
  <c r="AK269" i="6"/>
  <c r="AK270" i="6"/>
  <c r="AK271" i="6"/>
  <c r="AK272" i="6"/>
  <c r="AK273" i="6"/>
  <c r="AK274" i="6"/>
  <c r="AK275" i="6"/>
  <c r="AK276" i="6"/>
  <c r="AK277" i="6"/>
  <c r="AK278" i="6"/>
  <c r="AK279" i="6"/>
  <c r="AK280" i="6"/>
  <c r="AK281" i="6"/>
  <c r="AK282" i="6"/>
  <c r="AK283" i="6"/>
  <c r="AK284" i="6"/>
  <c r="AK285" i="6"/>
  <c r="AK286" i="6"/>
  <c r="AK287" i="6"/>
  <c r="AK288" i="6"/>
  <c r="AK289" i="6"/>
  <c r="AK290" i="6"/>
  <c r="AK291" i="6"/>
  <c r="AK292" i="6"/>
  <c r="AK293" i="6"/>
  <c r="AK294" i="6"/>
  <c r="AK295" i="6"/>
  <c r="AK296" i="6"/>
  <c r="AK297" i="6"/>
  <c r="AK298" i="6"/>
  <c r="AK299" i="6"/>
  <c r="AK300" i="6"/>
  <c r="AK301" i="6"/>
  <c r="AK302" i="6"/>
  <c r="AK303" i="6"/>
  <c r="AK304" i="6"/>
  <c r="AK305" i="6"/>
  <c r="AK306" i="6"/>
  <c r="AK307" i="6"/>
  <c r="AK308" i="6"/>
  <c r="AK309" i="6"/>
  <c r="AK310" i="6"/>
  <c r="AK311" i="6"/>
  <c r="AK312" i="6"/>
  <c r="AK313" i="6"/>
  <c r="AK314" i="6"/>
  <c r="AK315" i="6"/>
  <c r="AK316" i="6"/>
  <c r="AK317" i="6"/>
  <c r="AK318" i="6"/>
  <c r="AK319" i="6"/>
  <c r="AK320" i="6"/>
  <c r="AK321" i="6"/>
  <c r="AK322" i="6"/>
  <c r="AK323" i="6"/>
  <c r="AK324" i="6"/>
  <c r="AK325" i="6"/>
  <c r="AK326" i="6"/>
  <c r="AK327" i="6"/>
  <c r="AK328" i="6"/>
  <c r="AK329" i="6"/>
  <c r="AK330" i="6"/>
  <c r="AK331" i="6"/>
  <c r="AK332" i="6"/>
  <c r="AK333" i="6"/>
  <c r="AK334" i="6"/>
  <c r="AK335" i="6"/>
  <c r="AK336" i="6"/>
  <c r="AK337" i="6"/>
  <c r="AK338" i="6"/>
  <c r="AK339" i="6"/>
  <c r="AK340" i="6"/>
  <c r="AK341" i="6"/>
  <c r="AK342" i="6"/>
  <c r="AK343" i="6"/>
  <c r="AK344" i="6"/>
  <c r="AK345" i="6"/>
  <c r="AK346" i="6"/>
  <c r="AK347" i="6"/>
  <c r="AK348" i="6"/>
  <c r="AK349" i="6"/>
  <c r="AK350" i="6"/>
  <c r="AK351" i="6"/>
  <c r="AK352" i="6"/>
  <c r="AK353" i="6"/>
  <c r="AK354" i="6"/>
  <c r="AK355" i="6"/>
  <c r="AK356" i="6"/>
  <c r="AK357" i="6"/>
  <c r="AK358" i="6"/>
  <c r="AK359" i="6"/>
  <c r="AK360" i="6"/>
  <c r="AK361" i="6"/>
  <c r="AK362" i="6"/>
  <c r="AK363" i="6"/>
  <c r="AK364" i="6"/>
  <c r="AK365" i="6"/>
  <c r="AK366" i="6"/>
  <c r="AK367" i="6"/>
  <c r="AK368" i="6"/>
  <c r="AK369" i="6"/>
  <c r="AK370" i="6"/>
  <c r="AK371" i="6"/>
  <c r="AK372" i="6"/>
  <c r="AK373" i="6"/>
  <c r="AK2" i="6"/>
  <c r="AJ3" i="6"/>
  <c r="AJ4" i="6"/>
  <c r="AJ5" i="6"/>
  <c r="AJ6" i="6"/>
  <c r="AJ7" i="6"/>
  <c r="AJ8" i="6"/>
  <c r="AJ9" i="6"/>
  <c r="AJ10" i="6"/>
  <c r="AJ11" i="6"/>
  <c r="AJ12" i="6"/>
  <c r="AJ13" i="6"/>
  <c r="AJ14" i="6"/>
  <c r="AJ15" i="6"/>
  <c r="AJ16" i="6"/>
  <c r="AJ17" i="6"/>
  <c r="AJ18" i="6"/>
  <c r="AJ19" i="6"/>
  <c r="AJ20" i="6"/>
  <c r="AJ21" i="6"/>
  <c r="AJ22" i="6"/>
  <c r="AJ23" i="6"/>
  <c r="AJ24" i="6"/>
  <c r="AJ25" i="6"/>
  <c r="AJ26" i="6"/>
  <c r="AJ27" i="6"/>
  <c r="AJ28" i="6"/>
  <c r="AJ29" i="6"/>
  <c r="AJ30" i="6"/>
  <c r="AJ31" i="6"/>
  <c r="AJ32" i="6"/>
  <c r="AJ33" i="6"/>
  <c r="AJ34" i="6"/>
  <c r="AJ35" i="6"/>
  <c r="AJ36" i="6"/>
  <c r="AJ37" i="6"/>
  <c r="AJ38" i="6"/>
  <c r="AJ39" i="6"/>
  <c r="AJ40" i="6"/>
  <c r="AJ41" i="6"/>
  <c r="AJ42" i="6"/>
  <c r="AJ43" i="6"/>
  <c r="AJ44" i="6"/>
  <c r="AJ45" i="6"/>
  <c r="AJ46" i="6"/>
  <c r="AJ47" i="6"/>
  <c r="AJ48" i="6"/>
  <c r="AJ49" i="6"/>
  <c r="AJ50" i="6"/>
  <c r="AJ51" i="6"/>
  <c r="AJ52" i="6"/>
  <c r="AJ53" i="6"/>
  <c r="AJ54" i="6"/>
  <c r="AJ55" i="6"/>
  <c r="AJ56" i="6"/>
  <c r="AJ57" i="6"/>
  <c r="AJ58" i="6"/>
  <c r="AJ59" i="6"/>
  <c r="AJ60" i="6"/>
  <c r="AJ61" i="6"/>
  <c r="AJ62" i="6"/>
  <c r="AJ63" i="6"/>
  <c r="AJ64" i="6"/>
  <c r="AJ65" i="6"/>
  <c r="AJ66" i="6"/>
  <c r="AJ67" i="6"/>
  <c r="AJ68" i="6"/>
  <c r="AJ69" i="6"/>
  <c r="AJ70" i="6"/>
  <c r="AJ71" i="6"/>
  <c r="AJ72" i="6"/>
  <c r="AJ73" i="6"/>
  <c r="AJ74" i="6"/>
  <c r="AJ75" i="6"/>
  <c r="AJ76" i="6"/>
  <c r="AJ77" i="6"/>
  <c r="AJ78" i="6"/>
  <c r="AJ79" i="6"/>
  <c r="AJ80" i="6"/>
  <c r="AJ81" i="6"/>
  <c r="AJ82" i="6"/>
  <c r="AJ83" i="6"/>
  <c r="AJ84" i="6"/>
  <c r="AJ85" i="6"/>
  <c r="AJ86" i="6"/>
  <c r="AJ87" i="6"/>
  <c r="AJ88" i="6"/>
  <c r="AJ89" i="6"/>
  <c r="AJ90" i="6"/>
  <c r="AJ91" i="6"/>
  <c r="AJ92" i="6"/>
  <c r="AJ93" i="6"/>
  <c r="AJ94" i="6"/>
  <c r="AJ95" i="6"/>
  <c r="AJ96" i="6"/>
  <c r="AJ97" i="6"/>
  <c r="AJ98" i="6"/>
  <c r="AJ99" i="6"/>
  <c r="AJ100" i="6"/>
  <c r="AJ101" i="6"/>
  <c r="AJ102" i="6"/>
  <c r="AJ103" i="6"/>
  <c r="AJ104" i="6"/>
  <c r="AJ105" i="6"/>
  <c r="AJ106" i="6"/>
  <c r="AJ107" i="6"/>
  <c r="AJ108" i="6"/>
  <c r="AJ109" i="6"/>
  <c r="AJ110" i="6"/>
  <c r="AJ111" i="6"/>
  <c r="AJ112" i="6"/>
  <c r="AJ113" i="6"/>
  <c r="AJ114" i="6"/>
  <c r="AJ115" i="6"/>
  <c r="AJ116" i="6"/>
  <c r="AJ117" i="6"/>
  <c r="AJ118" i="6"/>
  <c r="AJ119" i="6"/>
  <c r="AJ120" i="6"/>
  <c r="AJ121" i="6"/>
  <c r="AJ122" i="6"/>
  <c r="AJ123" i="6"/>
  <c r="AJ124" i="6"/>
  <c r="AJ125" i="6"/>
  <c r="AJ126" i="6"/>
  <c r="AJ127" i="6"/>
  <c r="AJ128" i="6"/>
  <c r="AJ129" i="6"/>
  <c r="AJ130" i="6"/>
  <c r="AJ131" i="6"/>
  <c r="AJ132" i="6"/>
  <c r="AJ133" i="6"/>
  <c r="AJ134" i="6"/>
  <c r="AJ135" i="6"/>
  <c r="AJ136" i="6"/>
  <c r="AJ137" i="6"/>
  <c r="AJ138" i="6"/>
  <c r="AJ139" i="6"/>
  <c r="AJ140" i="6"/>
  <c r="AJ141" i="6"/>
  <c r="AJ142" i="6"/>
  <c r="AJ143" i="6"/>
  <c r="AJ144" i="6"/>
  <c r="AJ145" i="6"/>
  <c r="AJ146" i="6"/>
  <c r="AJ147" i="6"/>
  <c r="AJ148" i="6"/>
  <c r="AJ149" i="6"/>
  <c r="AJ150" i="6"/>
  <c r="AJ151" i="6"/>
  <c r="AJ152" i="6"/>
  <c r="AJ153" i="6"/>
  <c r="AJ154" i="6"/>
  <c r="AJ155" i="6"/>
  <c r="AJ156" i="6"/>
  <c r="AJ157" i="6"/>
  <c r="AJ158" i="6"/>
  <c r="AJ159" i="6"/>
  <c r="AJ160" i="6"/>
  <c r="AJ161" i="6"/>
  <c r="AJ162" i="6"/>
  <c r="AJ163" i="6"/>
  <c r="AJ164" i="6"/>
  <c r="AJ165" i="6"/>
  <c r="AJ166" i="6"/>
  <c r="AJ167" i="6"/>
  <c r="AJ168" i="6"/>
  <c r="AJ169" i="6"/>
  <c r="AJ170" i="6"/>
  <c r="AJ171" i="6"/>
  <c r="AJ172" i="6"/>
  <c r="AJ173" i="6"/>
  <c r="AJ174" i="6"/>
  <c r="AJ175" i="6"/>
  <c r="AJ176" i="6"/>
  <c r="AJ177" i="6"/>
  <c r="AJ178" i="6"/>
  <c r="AJ179" i="6"/>
  <c r="AJ180" i="6"/>
  <c r="AJ181" i="6"/>
  <c r="AJ182" i="6"/>
  <c r="AJ183" i="6"/>
  <c r="AJ184" i="6"/>
  <c r="AJ185" i="6"/>
  <c r="AJ186" i="6"/>
  <c r="AJ187" i="6"/>
  <c r="AJ188" i="6"/>
  <c r="AJ189" i="6"/>
  <c r="AJ190" i="6"/>
  <c r="AJ191" i="6"/>
  <c r="AJ192" i="6"/>
  <c r="AJ193" i="6"/>
  <c r="AJ194" i="6"/>
  <c r="AJ195" i="6"/>
  <c r="AJ196" i="6"/>
  <c r="AJ197" i="6"/>
  <c r="AJ198" i="6"/>
  <c r="AJ199" i="6"/>
  <c r="AJ200" i="6"/>
  <c r="AJ201" i="6"/>
  <c r="AJ202" i="6"/>
  <c r="AJ203" i="6"/>
  <c r="AJ204" i="6"/>
  <c r="AJ205" i="6"/>
  <c r="AJ206" i="6"/>
  <c r="AJ207" i="6"/>
  <c r="AJ208" i="6"/>
  <c r="AJ209" i="6"/>
  <c r="AJ210" i="6"/>
  <c r="AJ211" i="6"/>
  <c r="AJ212" i="6"/>
  <c r="AJ213" i="6"/>
  <c r="AJ214" i="6"/>
  <c r="AJ215" i="6"/>
  <c r="AJ216" i="6"/>
  <c r="AJ217" i="6"/>
  <c r="AJ218" i="6"/>
  <c r="AJ219" i="6"/>
  <c r="AJ220" i="6"/>
  <c r="AJ221" i="6"/>
  <c r="AJ222" i="6"/>
  <c r="AJ223" i="6"/>
  <c r="AJ224" i="6"/>
  <c r="AJ225" i="6"/>
  <c r="AJ226" i="6"/>
  <c r="AJ227" i="6"/>
  <c r="AJ228" i="6"/>
  <c r="AJ229" i="6"/>
  <c r="AJ230" i="6"/>
  <c r="AJ231" i="6"/>
  <c r="AJ232" i="6"/>
  <c r="AJ233" i="6"/>
  <c r="AJ234" i="6"/>
  <c r="AJ235" i="6"/>
  <c r="AJ236" i="6"/>
  <c r="AJ237" i="6"/>
  <c r="AJ238" i="6"/>
  <c r="AJ239" i="6"/>
  <c r="AJ240" i="6"/>
  <c r="AJ241" i="6"/>
  <c r="AJ242" i="6"/>
  <c r="AJ243" i="6"/>
  <c r="AJ244" i="6"/>
  <c r="AJ245" i="6"/>
  <c r="AJ246" i="6"/>
  <c r="AJ247" i="6"/>
  <c r="AJ248" i="6"/>
  <c r="AJ249" i="6"/>
  <c r="AJ250" i="6"/>
  <c r="AJ251" i="6"/>
  <c r="AJ252" i="6"/>
  <c r="AJ253" i="6"/>
  <c r="AJ254" i="6"/>
  <c r="AJ255" i="6"/>
  <c r="AJ256" i="6"/>
  <c r="AJ257" i="6"/>
  <c r="AJ258" i="6"/>
  <c r="AJ259" i="6"/>
  <c r="AJ266" i="6"/>
  <c r="AJ267" i="6"/>
  <c r="AJ268" i="6"/>
  <c r="AJ269" i="6"/>
  <c r="AJ270" i="6"/>
  <c r="AJ271" i="6"/>
  <c r="AJ272" i="6"/>
  <c r="AJ273" i="6"/>
  <c r="AJ274" i="6"/>
  <c r="AJ275" i="6"/>
  <c r="AJ276" i="6"/>
  <c r="AJ277" i="6"/>
  <c r="AJ278" i="6"/>
  <c r="AJ279" i="6"/>
  <c r="AJ280" i="6"/>
  <c r="AJ281" i="6"/>
  <c r="AJ282" i="6"/>
  <c r="AJ283" i="6"/>
  <c r="AJ284" i="6"/>
  <c r="AJ285" i="6"/>
  <c r="AJ286" i="6"/>
  <c r="AJ287" i="6"/>
  <c r="AJ288" i="6"/>
  <c r="AJ289" i="6"/>
  <c r="AJ290" i="6"/>
  <c r="AJ291" i="6"/>
  <c r="AJ292" i="6"/>
  <c r="AJ293" i="6"/>
  <c r="AJ294" i="6"/>
  <c r="AJ295" i="6"/>
  <c r="AJ296" i="6"/>
  <c r="AJ297" i="6"/>
  <c r="AJ298" i="6"/>
  <c r="AJ299" i="6"/>
  <c r="AJ300" i="6"/>
  <c r="AJ301" i="6"/>
  <c r="AJ302" i="6"/>
  <c r="AJ303" i="6"/>
  <c r="AJ304" i="6"/>
  <c r="AJ305" i="6"/>
  <c r="AJ306" i="6"/>
  <c r="AJ307" i="6"/>
  <c r="AJ308" i="6"/>
  <c r="AJ309" i="6"/>
  <c r="AJ310" i="6"/>
  <c r="AJ311" i="6"/>
  <c r="AJ312" i="6"/>
  <c r="AJ313" i="6"/>
  <c r="AJ314" i="6"/>
  <c r="AJ315" i="6"/>
  <c r="AJ316" i="6"/>
  <c r="AJ317" i="6"/>
  <c r="AJ318" i="6"/>
  <c r="AJ319" i="6"/>
  <c r="AJ320" i="6"/>
  <c r="AJ321" i="6"/>
  <c r="AJ322" i="6"/>
  <c r="AJ323" i="6"/>
  <c r="AJ324" i="6"/>
  <c r="AJ325" i="6"/>
  <c r="AJ326" i="6"/>
  <c r="AJ327" i="6"/>
  <c r="AJ328" i="6"/>
  <c r="AJ329" i="6"/>
  <c r="AJ330" i="6"/>
  <c r="AJ331" i="6"/>
  <c r="AJ332" i="6"/>
  <c r="AJ333" i="6"/>
  <c r="AJ334" i="6"/>
  <c r="AJ335" i="6"/>
  <c r="AJ336" i="6"/>
  <c r="AJ337" i="6"/>
  <c r="AJ338" i="6"/>
  <c r="AJ339" i="6"/>
  <c r="AJ340" i="6"/>
  <c r="AJ341" i="6"/>
  <c r="AJ342" i="6"/>
  <c r="AJ343" i="6"/>
  <c r="AJ344" i="6"/>
  <c r="AJ345" i="6"/>
  <c r="AJ346" i="6"/>
  <c r="AJ347" i="6"/>
  <c r="AJ348" i="6"/>
  <c r="AJ349" i="6"/>
  <c r="AJ350" i="6"/>
  <c r="AJ351" i="6"/>
  <c r="AJ352" i="6"/>
  <c r="AJ353" i="6"/>
  <c r="AJ354" i="6"/>
  <c r="AJ355" i="6"/>
  <c r="AJ356" i="6"/>
  <c r="AJ357" i="6"/>
  <c r="AJ358" i="6"/>
  <c r="AJ359" i="6"/>
  <c r="AJ360" i="6"/>
  <c r="AJ361" i="6"/>
  <c r="AJ362" i="6"/>
  <c r="AJ363" i="6"/>
  <c r="AJ364" i="6"/>
  <c r="AJ365" i="6"/>
  <c r="AJ366" i="6"/>
  <c r="AJ367" i="6"/>
  <c r="AJ368" i="6"/>
  <c r="AJ369" i="6"/>
  <c r="AJ370" i="6"/>
  <c r="AJ371" i="6"/>
  <c r="AJ372" i="6"/>
  <c r="AJ373" i="6"/>
  <c r="AJ2" i="6"/>
  <c r="AI3" i="6"/>
  <c r="AI4" i="6"/>
  <c r="AI6" i="6"/>
  <c r="AI7" i="6"/>
  <c r="AI9" i="6"/>
  <c r="AI10" i="6"/>
  <c r="AI12" i="6"/>
  <c r="AI13" i="6"/>
  <c r="AI15" i="6"/>
  <c r="AI16" i="6"/>
  <c r="AI18" i="6"/>
  <c r="AI19" i="6"/>
  <c r="AI21" i="6"/>
  <c r="AI22" i="6"/>
  <c r="AI24" i="6"/>
  <c r="AI25" i="6"/>
  <c r="AI27" i="6"/>
  <c r="AI28" i="6"/>
  <c r="AI30" i="6"/>
  <c r="AI31" i="6"/>
  <c r="AI33" i="6"/>
  <c r="AI34" i="6"/>
  <c r="AI36" i="6"/>
  <c r="AI37" i="6"/>
  <c r="AI39" i="6"/>
  <c r="AI40" i="6"/>
  <c r="AI42" i="6"/>
  <c r="AI43" i="6"/>
  <c r="AI45" i="6"/>
  <c r="AI46" i="6"/>
  <c r="AI48" i="6"/>
  <c r="AI49" i="6"/>
  <c r="AI51" i="6"/>
  <c r="AI52" i="6"/>
  <c r="AI54" i="6"/>
  <c r="AI55" i="6"/>
  <c r="AI57" i="6"/>
  <c r="AI58" i="6"/>
  <c r="AI60" i="6"/>
  <c r="AI61" i="6"/>
  <c r="AI63" i="6"/>
  <c r="AI64" i="6"/>
  <c r="AI66" i="6"/>
  <c r="AI67" i="6"/>
  <c r="AI69" i="6"/>
  <c r="AI70" i="6"/>
  <c r="AI72" i="6"/>
  <c r="AI73" i="6"/>
  <c r="AI75" i="6"/>
  <c r="AI76" i="6"/>
  <c r="AI78" i="6"/>
  <c r="AI79" i="6"/>
  <c r="AI81" i="6"/>
  <c r="AI82" i="6"/>
  <c r="AI84" i="6"/>
  <c r="AI85" i="6"/>
  <c r="AI87" i="6"/>
  <c r="AI88" i="6"/>
  <c r="AI90" i="6"/>
  <c r="AI91" i="6"/>
  <c r="AI93" i="6"/>
  <c r="AI94" i="6"/>
  <c r="AI96" i="6"/>
  <c r="AI97" i="6"/>
  <c r="AI99" i="6"/>
  <c r="AI100" i="6"/>
  <c r="AI102" i="6"/>
  <c r="AI103" i="6"/>
  <c r="AI105" i="6"/>
  <c r="AI106" i="6"/>
  <c r="AI108" i="6"/>
  <c r="AI109" i="6"/>
  <c r="AI111" i="6"/>
  <c r="AI112" i="6"/>
  <c r="AI114" i="6"/>
  <c r="AI115" i="6"/>
  <c r="AI117" i="6"/>
  <c r="AI118" i="6"/>
  <c r="AI120" i="6"/>
  <c r="AI121" i="6"/>
  <c r="AI123" i="6"/>
  <c r="AI124" i="6"/>
  <c r="AI126" i="6"/>
  <c r="AI127" i="6"/>
  <c r="AI129" i="6"/>
  <c r="AI130" i="6"/>
  <c r="AI132" i="6"/>
  <c r="AI133" i="6"/>
  <c r="AI135" i="6"/>
  <c r="AI136" i="6"/>
  <c r="AI138" i="6"/>
  <c r="AI139" i="6"/>
  <c r="AI141" i="6"/>
  <c r="AI142" i="6"/>
  <c r="AI144" i="6"/>
  <c r="AI145" i="6"/>
  <c r="AI147" i="6"/>
  <c r="AI148" i="6"/>
  <c r="AI150" i="6"/>
  <c r="AI151" i="6"/>
  <c r="AI153" i="6"/>
  <c r="AI154" i="6"/>
  <c r="AI156" i="6"/>
  <c r="AI157" i="6"/>
  <c r="AI159" i="6"/>
  <c r="AI160" i="6"/>
  <c r="AI162" i="6"/>
  <c r="AI163" i="6"/>
  <c r="AI165" i="6"/>
  <c r="AI166" i="6"/>
  <c r="AI168" i="6"/>
  <c r="AI169" i="6"/>
  <c r="AI171" i="6"/>
  <c r="AI172" i="6"/>
  <c r="AI174" i="6"/>
  <c r="AI175" i="6"/>
  <c r="AI177" i="6"/>
  <c r="AI178" i="6"/>
  <c r="AI180" i="6"/>
  <c r="AI181" i="6"/>
  <c r="AI183" i="6"/>
  <c r="AI184" i="6"/>
  <c r="AI186" i="6"/>
  <c r="AI187" i="6"/>
  <c r="AI189" i="6"/>
  <c r="AI190" i="6"/>
  <c r="AI192" i="6"/>
  <c r="AI193" i="6"/>
  <c r="AI195" i="6"/>
  <c r="AI196" i="6"/>
  <c r="AI198" i="6"/>
  <c r="AI199" i="6"/>
  <c r="AI201" i="6"/>
  <c r="AI202" i="6"/>
  <c r="AI204" i="6"/>
  <c r="AI205" i="6"/>
  <c r="AI207" i="6"/>
  <c r="AI208" i="6"/>
  <c r="AI210" i="6"/>
  <c r="AI211" i="6"/>
  <c r="AI213" i="6"/>
  <c r="AI214" i="6"/>
  <c r="AI216" i="6"/>
  <c r="AI217" i="6"/>
  <c r="AI219" i="6"/>
  <c r="AI220" i="6"/>
  <c r="AI222" i="6"/>
  <c r="AI223" i="6"/>
  <c r="AI225" i="6"/>
  <c r="AI226" i="6"/>
  <c r="AI228" i="6"/>
  <c r="AI229" i="6"/>
  <c r="AI231" i="6"/>
  <c r="AI232" i="6"/>
  <c r="AI234" i="6"/>
  <c r="AI235" i="6"/>
  <c r="AI237" i="6"/>
  <c r="AI238" i="6"/>
  <c r="AI240" i="6"/>
  <c r="AI241" i="6"/>
  <c r="AI243" i="6"/>
  <c r="AI244" i="6"/>
  <c r="AI246" i="6"/>
  <c r="AI247" i="6"/>
  <c r="AI249" i="6"/>
  <c r="AI250" i="6"/>
  <c r="AI252" i="6"/>
  <c r="AI253" i="6"/>
  <c r="AI255" i="6"/>
  <c r="AI256" i="6"/>
  <c r="AI258" i="6"/>
  <c r="AI259" i="6"/>
  <c r="AI267" i="6"/>
  <c r="AI268" i="6"/>
  <c r="AI270" i="6"/>
  <c r="AI271" i="6"/>
  <c r="AI273" i="6"/>
  <c r="AI274" i="6"/>
  <c r="AI276" i="6"/>
  <c r="AI277" i="6"/>
  <c r="AI279" i="6"/>
  <c r="AI280" i="6"/>
  <c r="AI282" i="6"/>
  <c r="AI283" i="6"/>
  <c r="AI285" i="6"/>
  <c r="AI286" i="6"/>
  <c r="AI288" i="6"/>
  <c r="AI289" i="6"/>
  <c r="AI291" i="6"/>
  <c r="AI292" i="6"/>
  <c r="AI294" i="6"/>
  <c r="AI295" i="6"/>
  <c r="AI297" i="6"/>
  <c r="AI298" i="6"/>
  <c r="AI300" i="6"/>
  <c r="AI301" i="6"/>
  <c r="AI303" i="6"/>
  <c r="AI304" i="6"/>
  <c r="AI306" i="6"/>
  <c r="AI307" i="6"/>
  <c r="AI309" i="6"/>
  <c r="AI310" i="6"/>
  <c r="AI312" i="6"/>
  <c r="AI313" i="6"/>
  <c r="AI315" i="6"/>
  <c r="AI316" i="6"/>
  <c r="AI318" i="6"/>
  <c r="AI319" i="6"/>
  <c r="AI321" i="6"/>
  <c r="AI322" i="6"/>
  <c r="AI324" i="6"/>
  <c r="AI325" i="6"/>
  <c r="AI327" i="6"/>
  <c r="AI328" i="6"/>
  <c r="AI330" i="6"/>
  <c r="AI331" i="6"/>
  <c r="AI333" i="6"/>
  <c r="AI334" i="6"/>
  <c r="AI336" i="6"/>
  <c r="AI337" i="6"/>
  <c r="AI339" i="6"/>
  <c r="AI340" i="6"/>
  <c r="AI342" i="6"/>
  <c r="AI343" i="6"/>
  <c r="AI345" i="6"/>
  <c r="AI346" i="6"/>
  <c r="AI348" i="6"/>
  <c r="AI349" i="6"/>
  <c r="AI351" i="6"/>
  <c r="AI352" i="6"/>
  <c r="AI354" i="6"/>
  <c r="AI355" i="6"/>
  <c r="AI357" i="6"/>
  <c r="AI358" i="6"/>
  <c r="AI360" i="6"/>
  <c r="AI361" i="6"/>
  <c r="AI363" i="6"/>
  <c r="AI364" i="6"/>
  <c r="AI366" i="6"/>
  <c r="AI367" i="6"/>
  <c r="AI369" i="6"/>
  <c r="AI370" i="6"/>
  <c r="AI372" i="6"/>
  <c r="AI373" i="6"/>
  <c r="AH265" i="6"/>
  <c r="AH264" i="6"/>
  <c r="AH262" i="6"/>
  <c r="AH261" i="6"/>
  <c r="AG2" i="6"/>
  <c r="AG246" i="6"/>
  <c r="AG247" i="6"/>
  <c r="AG248" i="6"/>
  <c r="AG249" i="6"/>
  <c r="AG250" i="6"/>
  <c r="AG251" i="6"/>
  <c r="AG252" i="6"/>
  <c r="AG253" i="6"/>
  <c r="AG254" i="6"/>
  <c r="AG255" i="6"/>
  <c r="AG256" i="6"/>
  <c r="AG257" i="6"/>
  <c r="AG258" i="6"/>
  <c r="AG259" i="6"/>
  <c r="AG266" i="6"/>
  <c r="AG267" i="6"/>
  <c r="AG268" i="6"/>
  <c r="AG269" i="6"/>
  <c r="AG270" i="6"/>
  <c r="AG271" i="6"/>
  <c r="AG272" i="6"/>
  <c r="AG273" i="6"/>
  <c r="AG274" i="6"/>
  <c r="AG275" i="6"/>
  <c r="AG276" i="6"/>
  <c r="AG277" i="6"/>
  <c r="AG278" i="6"/>
  <c r="AG279" i="6"/>
  <c r="AG280" i="6"/>
  <c r="AG281" i="6"/>
  <c r="AG282" i="6"/>
  <c r="AG283" i="6"/>
  <c r="AG284" i="6"/>
  <c r="AG285" i="6"/>
  <c r="AG286" i="6"/>
  <c r="AG287" i="6"/>
  <c r="AG288" i="6"/>
  <c r="AG289" i="6"/>
  <c r="AG290" i="6"/>
  <c r="AG291" i="6"/>
  <c r="AG292" i="6"/>
  <c r="AG293" i="6"/>
  <c r="AG294" i="6"/>
  <c r="AG295" i="6"/>
  <c r="AG296" i="6"/>
  <c r="AG297" i="6"/>
  <c r="AG298" i="6"/>
  <c r="AG299" i="6"/>
  <c r="AG300" i="6"/>
  <c r="AG301" i="6"/>
  <c r="AG302" i="6"/>
  <c r="AG303" i="6"/>
  <c r="AG304" i="6"/>
  <c r="AG305" i="6"/>
  <c r="AG306" i="6"/>
  <c r="AG307" i="6"/>
  <c r="AG308" i="6"/>
  <c r="AG309" i="6"/>
  <c r="AG310" i="6"/>
  <c r="AG311" i="6"/>
  <c r="AG312" i="6"/>
  <c r="AG313" i="6"/>
  <c r="AG314" i="6"/>
  <c r="AG315" i="6"/>
  <c r="AG316" i="6"/>
  <c r="AG317" i="6"/>
  <c r="AG318" i="6"/>
  <c r="AG319" i="6"/>
  <c r="AG320" i="6"/>
  <c r="AG321" i="6"/>
  <c r="AG322" i="6"/>
  <c r="AG323" i="6"/>
  <c r="AG324" i="6"/>
  <c r="AG325" i="6"/>
  <c r="AG326" i="6"/>
  <c r="AG327" i="6"/>
  <c r="AG328" i="6"/>
  <c r="AG329" i="6"/>
  <c r="AG330" i="6"/>
  <c r="AG331" i="6"/>
  <c r="AG332" i="6"/>
  <c r="AG333" i="6"/>
  <c r="AG334" i="6"/>
  <c r="AG335" i="6"/>
  <c r="AG336" i="6"/>
  <c r="AG337" i="6"/>
  <c r="AG338" i="6"/>
  <c r="AG339" i="6"/>
  <c r="AG340" i="6"/>
  <c r="AG341" i="6"/>
  <c r="AG342" i="6"/>
  <c r="AG343" i="6"/>
  <c r="AG344" i="6"/>
  <c r="AG345" i="6"/>
  <c r="AG346" i="6"/>
  <c r="AG347" i="6"/>
  <c r="AG348" i="6"/>
  <c r="AG349" i="6"/>
  <c r="AG350" i="6"/>
  <c r="AG351" i="6"/>
  <c r="AG352" i="6"/>
  <c r="AG353" i="6"/>
  <c r="AG354" i="6"/>
  <c r="AG355" i="6"/>
  <c r="AG356" i="6"/>
  <c r="AG357" i="6"/>
  <c r="AG358" i="6"/>
  <c r="AG359" i="6"/>
  <c r="AG360" i="6"/>
  <c r="AG361" i="6"/>
  <c r="AG362" i="6"/>
  <c r="AG363" i="6"/>
  <c r="AG364" i="6"/>
  <c r="AG365" i="6"/>
  <c r="AG366" i="6"/>
  <c r="AG367" i="6"/>
  <c r="AG368" i="6"/>
  <c r="AG369" i="6"/>
  <c r="AG370" i="6"/>
  <c r="AG371" i="6"/>
  <c r="AG372" i="6"/>
  <c r="AG373" i="6"/>
  <c r="AG5" i="6"/>
  <c r="AG6" i="6"/>
  <c r="AG7" i="6"/>
  <c r="AG8" i="6"/>
  <c r="AG9" i="6"/>
  <c r="AG10" i="6"/>
  <c r="AG11" i="6"/>
  <c r="AG12" i="6"/>
  <c r="AG13" i="6"/>
  <c r="AG14" i="6"/>
  <c r="AG15" i="6"/>
  <c r="AG16" i="6"/>
  <c r="AG17" i="6"/>
  <c r="AG18" i="6"/>
  <c r="AG19" i="6"/>
  <c r="AG20" i="6"/>
  <c r="AG21" i="6"/>
  <c r="AG22" i="6"/>
  <c r="AG23" i="6"/>
  <c r="AG24" i="6"/>
  <c r="AG25" i="6"/>
  <c r="AG26" i="6"/>
  <c r="AG27" i="6"/>
  <c r="AG28" i="6"/>
  <c r="AG29" i="6"/>
  <c r="AG30" i="6"/>
  <c r="AG31" i="6"/>
  <c r="AG32" i="6"/>
  <c r="AG33" i="6"/>
  <c r="AG34" i="6"/>
  <c r="AG35" i="6"/>
  <c r="AG36" i="6"/>
  <c r="AG37" i="6"/>
  <c r="AG38" i="6"/>
  <c r="AG39" i="6"/>
  <c r="AG40" i="6"/>
  <c r="AG41" i="6"/>
  <c r="AG42" i="6"/>
  <c r="AG43" i="6"/>
  <c r="AG44" i="6"/>
  <c r="AG45" i="6"/>
  <c r="AG46" i="6"/>
  <c r="AG47" i="6"/>
  <c r="AG48" i="6"/>
  <c r="AG49" i="6"/>
  <c r="AG50" i="6"/>
  <c r="AG51" i="6"/>
  <c r="AG52" i="6"/>
  <c r="AG53" i="6"/>
  <c r="AG54" i="6"/>
  <c r="AG55" i="6"/>
  <c r="AG56" i="6"/>
  <c r="AG57" i="6"/>
  <c r="AG58" i="6"/>
  <c r="AG59" i="6"/>
  <c r="AG60" i="6"/>
  <c r="AG61" i="6"/>
  <c r="AG62" i="6"/>
  <c r="AG63" i="6"/>
  <c r="AG64" i="6"/>
  <c r="AG65" i="6"/>
  <c r="AG66" i="6"/>
  <c r="AG67" i="6"/>
  <c r="AG68" i="6"/>
  <c r="AG69" i="6"/>
  <c r="AG70" i="6"/>
  <c r="AG71" i="6"/>
  <c r="AG72" i="6"/>
  <c r="AG73" i="6"/>
  <c r="AG74" i="6"/>
  <c r="AG75" i="6"/>
  <c r="AG76" i="6"/>
  <c r="AG77" i="6"/>
  <c r="AG78" i="6"/>
  <c r="AG79" i="6"/>
  <c r="AG80" i="6"/>
  <c r="AG81" i="6"/>
  <c r="AG82" i="6"/>
  <c r="AG83" i="6"/>
  <c r="AG84" i="6"/>
  <c r="AG85" i="6"/>
  <c r="AG86" i="6"/>
  <c r="AG87" i="6"/>
  <c r="AG88" i="6"/>
  <c r="AG89" i="6"/>
  <c r="AG90" i="6"/>
  <c r="AG91" i="6"/>
  <c r="AG92" i="6"/>
  <c r="AG93" i="6"/>
  <c r="AG94" i="6"/>
  <c r="AG95" i="6"/>
  <c r="AG96" i="6"/>
  <c r="AG97" i="6"/>
  <c r="AG98" i="6"/>
  <c r="AG99" i="6"/>
  <c r="AG100" i="6"/>
  <c r="AG101" i="6"/>
  <c r="AG102" i="6"/>
  <c r="AG103" i="6"/>
  <c r="AG104" i="6"/>
  <c r="AG105" i="6"/>
  <c r="AG106" i="6"/>
  <c r="AG107" i="6"/>
  <c r="AG108" i="6"/>
  <c r="AG109" i="6"/>
  <c r="AG110" i="6"/>
  <c r="AG111" i="6"/>
  <c r="AG112" i="6"/>
  <c r="AG113" i="6"/>
  <c r="AG114" i="6"/>
  <c r="AG115" i="6"/>
  <c r="AG116" i="6"/>
  <c r="AG117" i="6"/>
  <c r="AG118" i="6"/>
  <c r="AG119" i="6"/>
  <c r="AG120" i="6"/>
  <c r="AG121" i="6"/>
  <c r="AG122" i="6"/>
  <c r="AG123" i="6"/>
  <c r="AG124" i="6"/>
  <c r="AG125" i="6"/>
  <c r="AG126" i="6"/>
  <c r="AG127" i="6"/>
  <c r="AG128" i="6"/>
  <c r="AG129" i="6"/>
  <c r="AG130" i="6"/>
  <c r="AG131" i="6"/>
  <c r="AG132" i="6"/>
  <c r="AG133" i="6"/>
  <c r="AG134" i="6"/>
  <c r="AG135" i="6"/>
  <c r="AG136" i="6"/>
  <c r="AG137" i="6"/>
  <c r="AG138" i="6"/>
  <c r="AG139" i="6"/>
  <c r="AG140" i="6"/>
  <c r="AG141" i="6"/>
  <c r="AG142" i="6"/>
  <c r="AG143" i="6"/>
  <c r="AG144" i="6"/>
  <c r="AG145" i="6"/>
  <c r="AG146" i="6"/>
  <c r="AG147" i="6"/>
  <c r="AG148" i="6"/>
  <c r="AG149" i="6"/>
  <c r="AG150" i="6"/>
  <c r="AG151" i="6"/>
  <c r="AG152" i="6"/>
  <c r="AG153" i="6"/>
  <c r="AG154" i="6"/>
  <c r="AG155" i="6"/>
  <c r="AG156" i="6"/>
  <c r="AG157" i="6"/>
  <c r="AG158" i="6"/>
  <c r="AG159" i="6"/>
  <c r="AG160" i="6"/>
  <c r="AG161" i="6"/>
  <c r="AG162" i="6"/>
  <c r="AG163" i="6"/>
  <c r="AG164" i="6"/>
  <c r="AG165" i="6"/>
  <c r="AG166" i="6"/>
  <c r="AG167" i="6"/>
  <c r="AG168" i="6"/>
  <c r="AG169" i="6"/>
  <c r="AG170" i="6"/>
  <c r="AG171" i="6"/>
  <c r="AG172" i="6"/>
  <c r="AG173" i="6"/>
  <c r="AG174" i="6"/>
  <c r="AG175" i="6"/>
  <c r="AG176" i="6"/>
  <c r="AG177" i="6"/>
  <c r="AG178" i="6"/>
  <c r="AG179" i="6"/>
  <c r="AG180" i="6"/>
  <c r="AG181" i="6"/>
  <c r="AG182" i="6"/>
  <c r="AG183" i="6"/>
  <c r="AG184" i="6"/>
  <c r="AG185" i="6"/>
  <c r="AG186" i="6"/>
  <c r="AG187" i="6"/>
  <c r="AG188" i="6"/>
  <c r="AG189" i="6"/>
  <c r="AG190" i="6"/>
  <c r="AG191" i="6"/>
  <c r="AG192" i="6"/>
  <c r="AG193" i="6"/>
  <c r="AG194" i="6"/>
  <c r="AG195" i="6"/>
  <c r="AG196" i="6"/>
  <c r="AG197" i="6"/>
  <c r="AG198" i="6"/>
  <c r="AG199" i="6"/>
  <c r="AG200" i="6"/>
  <c r="AG201" i="6"/>
  <c r="AG202" i="6"/>
  <c r="AG203" i="6"/>
  <c r="AG204" i="6"/>
  <c r="AG205" i="6"/>
  <c r="AG206" i="6"/>
  <c r="AG207" i="6"/>
  <c r="AG208" i="6"/>
  <c r="AG209" i="6"/>
  <c r="AG210" i="6"/>
  <c r="AG211" i="6"/>
  <c r="AG212" i="6"/>
  <c r="AG213" i="6"/>
  <c r="AG214" i="6"/>
  <c r="AG215" i="6"/>
  <c r="AG216" i="6"/>
  <c r="AG217" i="6"/>
  <c r="AG218" i="6"/>
  <c r="AG219" i="6"/>
  <c r="AG220" i="6"/>
  <c r="AG221" i="6"/>
  <c r="AG222" i="6"/>
  <c r="AG223" i="6"/>
  <c r="AG224" i="6"/>
  <c r="AG225" i="6"/>
  <c r="AG226" i="6"/>
  <c r="AG227" i="6"/>
  <c r="AG228" i="6"/>
  <c r="AG229" i="6"/>
  <c r="AG230" i="6"/>
  <c r="AG231" i="6"/>
  <c r="AG232" i="6"/>
  <c r="AG233" i="6"/>
  <c r="AG234" i="6"/>
  <c r="AG235" i="6"/>
  <c r="AG236" i="6"/>
  <c r="AG237" i="6"/>
  <c r="AG238" i="6"/>
  <c r="AG239" i="6"/>
  <c r="AG240" i="6"/>
  <c r="AG241" i="6"/>
  <c r="AG242" i="6"/>
  <c r="AG243" i="6"/>
  <c r="AG244" i="6"/>
  <c r="AG245" i="6"/>
  <c r="AG3" i="6"/>
  <c r="AG4" i="6"/>
  <c r="V371" i="6"/>
  <c r="AI371" i="6" s="1"/>
  <c r="V368" i="6"/>
  <c r="AI368" i="6" s="1"/>
  <c r="V365" i="6"/>
  <c r="AI365" i="6" s="1"/>
  <c r="V362" i="6"/>
  <c r="AI362" i="6" s="1"/>
  <c r="V359" i="6"/>
  <c r="AI359" i="6" s="1"/>
  <c r="V356" i="6"/>
  <c r="AI356" i="6" s="1"/>
  <c r="V353" i="6"/>
  <c r="AI353" i="6" s="1"/>
  <c r="V350" i="6"/>
  <c r="AI350" i="6" s="1"/>
  <c r="V347" i="6"/>
  <c r="AI347" i="6" s="1"/>
  <c r="V344" i="6"/>
  <c r="AI344" i="6" s="1"/>
  <c r="V341" i="6"/>
  <c r="AI341" i="6" s="1"/>
  <c r="V338" i="6"/>
  <c r="AI338" i="6" s="1"/>
  <c r="V335" i="6"/>
  <c r="AI335" i="6" s="1"/>
  <c r="V332" i="6"/>
  <c r="AI332" i="6" s="1"/>
  <c r="V329" i="6"/>
  <c r="AI329" i="6" s="1"/>
  <c r="V326" i="6"/>
  <c r="AI326" i="6" s="1"/>
  <c r="V323" i="6"/>
  <c r="AI323" i="6" s="1"/>
  <c r="V320" i="6"/>
  <c r="AI320" i="6" s="1"/>
  <c r="V317" i="6"/>
  <c r="AI317" i="6" s="1"/>
  <c r="V314" i="6"/>
  <c r="AI314" i="6" s="1"/>
  <c r="V311" i="6"/>
  <c r="AI311" i="6" s="1"/>
  <c r="V308" i="6"/>
  <c r="AI308" i="6" s="1"/>
  <c r="V305" i="6"/>
  <c r="AI305" i="6" s="1"/>
  <c r="V302" i="6"/>
  <c r="AI302" i="6" s="1"/>
  <c r="V299" i="6"/>
  <c r="AI299" i="6" s="1"/>
  <c r="V296" i="6"/>
  <c r="AI296" i="6" s="1"/>
  <c r="V293" i="6"/>
  <c r="AI293" i="6" s="1"/>
  <c r="V290" i="6"/>
  <c r="AI290" i="6" s="1"/>
  <c r="V287" i="6"/>
  <c r="AI287" i="6" s="1"/>
  <c r="V284" i="6"/>
  <c r="AI284" i="6" s="1"/>
  <c r="V281" i="6"/>
  <c r="AI281" i="6" s="1"/>
  <c r="V278" i="6"/>
  <c r="AI278" i="6" s="1"/>
  <c r="V275" i="6"/>
  <c r="AI275" i="6" s="1"/>
  <c r="V272" i="6"/>
  <c r="AI272" i="6" s="1"/>
  <c r="V269" i="6"/>
  <c r="AI269" i="6" s="1"/>
  <c r="V266" i="6"/>
  <c r="AI266" i="6" s="1"/>
  <c r="AE265" i="6"/>
  <c r="AD265" i="6"/>
  <c r="AC265" i="6"/>
  <c r="AB265" i="6"/>
  <c r="AA265" i="6"/>
  <c r="Z265" i="6"/>
  <c r="Y265" i="6"/>
  <c r="AK265" i="6" s="1"/>
  <c r="W265" i="6"/>
  <c r="V265" i="6"/>
  <c r="U265" i="6"/>
  <c r="T265" i="6"/>
  <c r="S265" i="6"/>
  <c r="R265" i="6"/>
  <c r="Q265" i="6"/>
  <c r="P265" i="6"/>
  <c r="O265" i="6"/>
  <c r="N265" i="6"/>
  <c r="M265" i="6"/>
  <c r="L265" i="6"/>
  <c r="K265" i="6"/>
  <c r="J265" i="6"/>
  <c r="I265" i="6"/>
  <c r="H265" i="6"/>
  <c r="G265" i="6"/>
  <c r="F265" i="6"/>
  <c r="E265" i="6"/>
  <c r="AE264" i="6"/>
  <c r="AD264" i="6"/>
  <c r="AC264" i="6"/>
  <c r="AB264" i="6"/>
  <c r="AA264" i="6"/>
  <c r="Z264" i="6"/>
  <c r="Y264" i="6"/>
  <c r="X264" i="6"/>
  <c r="W264" i="6"/>
  <c r="V264" i="6"/>
  <c r="AI264" i="6" s="1"/>
  <c r="U264" i="6"/>
  <c r="T264" i="6"/>
  <c r="S264" i="6"/>
  <c r="AJ264" i="6" s="1"/>
  <c r="R264" i="6"/>
  <c r="Q264" i="6"/>
  <c r="P264" i="6"/>
  <c r="O264" i="6"/>
  <c r="N264" i="6"/>
  <c r="M264" i="6"/>
  <c r="L264" i="6"/>
  <c r="K264" i="6"/>
  <c r="J264" i="6"/>
  <c r="I264" i="6"/>
  <c r="H264" i="6"/>
  <c r="G264" i="6"/>
  <c r="F264" i="6"/>
  <c r="E264" i="6"/>
  <c r="AE263" i="6"/>
  <c r="AE260" i="6" s="1"/>
  <c r="AD263" i="6"/>
  <c r="AC263" i="6"/>
  <c r="AB263" i="6"/>
  <c r="AA263" i="6"/>
  <c r="Z263" i="6"/>
  <c r="Y263" i="6"/>
  <c r="X263" i="6"/>
  <c r="W263" i="6"/>
  <c r="V263" i="6"/>
  <c r="AI263" i="6" s="1"/>
  <c r="U263" i="6"/>
  <c r="T263" i="6"/>
  <c r="S263" i="6"/>
  <c r="AJ263" i="6" s="1"/>
  <c r="R263" i="6"/>
  <c r="Q263" i="6"/>
  <c r="P263" i="6"/>
  <c r="O263" i="6"/>
  <c r="N263" i="6"/>
  <c r="M263" i="6"/>
  <c r="L263" i="6"/>
  <c r="K263" i="6"/>
  <c r="J263" i="6"/>
  <c r="I263" i="6"/>
  <c r="H263" i="6"/>
  <c r="G263" i="6"/>
  <c r="F263" i="6"/>
  <c r="E263" i="6"/>
  <c r="AE262" i="6"/>
  <c r="AD262" i="6"/>
  <c r="AC262" i="6"/>
  <c r="AB262" i="6"/>
  <c r="AA262" i="6"/>
  <c r="Z262" i="6"/>
  <c r="X262" i="6"/>
  <c r="AI262" i="6" s="1"/>
  <c r="U262" i="6"/>
  <c r="T262" i="6"/>
  <c r="S262" i="6"/>
  <c r="R262" i="6"/>
  <c r="P262" i="6"/>
  <c r="F262" i="6"/>
  <c r="AG262" i="6" s="1"/>
  <c r="AE261" i="6"/>
  <c r="AD261" i="6"/>
  <c r="AC261" i="6"/>
  <c r="AB261" i="6"/>
  <c r="AA261" i="6"/>
  <c r="Z261" i="6"/>
  <c r="AK261" i="6" s="1"/>
  <c r="X261" i="6"/>
  <c r="AI261" i="6" s="1"/>
  <c r="U261" i="6"/>
  <c r="T261" i="6"/>
  <c r="S261" i="6"/>
  <c r="AJ261" i="6" s="1"/>
  <c r="R261" i="6"/>
  <c r="P261" i="6"/>
  <c r="F261" i="6"/>
  <c r="AD260" i="6"/>
  <c r="AC260" i="6"/>
  <c r="AB260" i="6"/>
  <c r="AA260" i="6"/>
  <c r="Z260" i="6"/>
  <c r="AK260" i="6" s="1"/>
  <c r="X260" i="6"/>
  <c r="V260" i="6"/>
  <c r="AI260" i="6" s="1"/>
  <c r="U260" i="6"/>
  <c r="T260" i="6"/>
  <c r="S260" i="6"/>
  <c r="R260" i="6"/>
  <c r="P260" i="6"/>
  <c r="F260" i="6"/>
  <c r="AG260" i="6" s="1"/>
  <c r="V257" i="6"/>
  <c r="V254" i="6"/>
  <c r="AI254" i="6" s="1"/>
  <c r="V251" i="6"/>
  <c r="AI251" i="6" s="1"/>
  <c r="V248" i="6"/>
  <c r="AI248" i="6" s="1"/>
  <c r="V245" i="6"/>
  <c r="AI245" i="6" s="1"/>
  <c r="V242" i="6"/>
  <c r="AI242" i="6" s="1"/>
  <c r="V239" i="6"/>
  <c r="AI239" i="6" s="1"/>
  <c r="V236" i="6"/>
  <c r="AI236" i="6" s="1"/>
  <c r="V233" i="6"/>
  <c r="AI233" i="6" s="1"/>
  <c r="V230" i="6"/>
  <c r="AI230" i="6" s="1"/>
  <c r="V227" i="6"/>
  <c r="AI227" i="6" s="1"/>
  <c r="V224" i="6"/>
  <c r="AI224" i="6" s="1"/>
  <c r="V221" i="6"/>
  <c r="AI221" i="6" s="1"/>
  <c r="V218" i="6"/>
  <c r="AI218" i="6" s="1"/>
  <c r="V215" i="6"/>
  <c r="AI215" i="6" s="1"/>
  <c r="V212" i="6"/>
  <c r="AI212" i="6" s="1"/>
  <c r="V209" i="6"/>
  <c r="AI209" i="6" s="1"/>
  <c r="V206" i="6"/>
  <c r="AI206" i="6" s="1"/>
  <c r="V203" i="6"/>
  <c r="AI203" i="6" s="1"/>
  <c r="V200" i="6"/>
  <c r="AI200" i="6" s="1"/>
  <c r="V197" i="6"/>
  <c r="AI197" i="6" s="1"/>
  <c r="V194" i="6"/>
  <c r="AI194" i="6" s="1"/>
  <c r="V191" i="6"/>
  <c r="AI191" i="6" s="1"/>
  <c r="V188" i="6"/>
  <c r="AI188" i="6" s="1"/>
  <c r="V185" i="6"/>
  <c r="AI185" i="6" s="1"/>
  <c r="V182" i="6"/>
  <c r="AI182" i="6" s="1"/>
  <c r="V179" i="6"/>
  <c r="AI179" i="6" s="1"/>
  <c r="V176" i="6"/>
  <c r="AI176" i="6" s="1"/>
  <c r="V173" i="6"/>
  <c r="AI173" i="6" s="1"/>
  <c r="V170" i="6"/>
  <c r="AI170" i="6" s="1"/>
  <c r="V167" i="6"/>
  <c r="AI167" i="6" s="1"/>
  <c r="V164" i="6"/>
  <c r="AI164" i="6" s="1"/>
  <c r="V161" i="6"/>
  <c r="AI161" i="6" s="1"/>
  <c r="V158" i="6"/>
  <c r="AI158" i="6" s="1"/>
  <c r="V155" i="6"/>
  <c r="AI155" i="6" s="1"/>
  <c r="V152" i="6"/>
  <c r="AI152" i="6" s="1"/>
  <c r="V149" i="6"/>
  <c r="AI149" i="6" s="1"/>
  <c r="V146" i="6"/>
  <c r="AI146" i="6" s="1"/>
  <c r="V143" i="6"/>
  <c r="AI143" i="6" s="1"/>
  <c r="V140" i="6"/>
  <c r="AI140" i="6" s="1"/>
  <c r="V137" i="6"/>
  <c r="AI137" i="6" s="1"/>
  <c r="V134" i="6"/>
  <c r="AI134" i="6" s="1"/>
  <c r="V131" i="6"/>
  <c r="AI131" i="6" s="1"/>
  <c r="V128" i="6"/>
  <c r="AI128" i="6" s="1"/>
  <c r="V125" i="6"/>
  <c r="AI125" i="6" s="1"/>
  <c r="V122" i="6"/>
  <c r="AI122" i="6" s="1"/>
  <c r="V119" i="6"/>
  <c r="AI119" i="6" s="1"/>
  <c r="V116" i="6"/>
  <c r="AI116" i="6" s="1"/>
  <c r="V113" i="6"/>
  <c r="AI113" i="6" s="1"/>
  <c r="V110" i="6"/>
  <c r="AI110" i="6" s="1"/>
  <c r="V107" i="6"/>
  <c r="AI107" i="6" s="1"/>
  <c r="V104" i="6"/>
  <c r="AI104" i="6" s="1"/>
  <c r="V101" i="6"/>
  <c r="AI101" i="6" s="1"/>
  <c r="V98" i="6"/>
  <c r="AI98" i="6" s="1"/>
  <c r="V95" i="6"/>
  <c r="AI95" i="6" s="1"/>
  <c r="V92" i="6"/>
  <c r="AI92" i="6" s="1"/>
  <c r="V89" i="6"/>
  <c r="AI89" i="6" s="1"/>
  <c r="V86" i="6"/>
  <c r="AI86" i="6" s="1"/>
  <c r="V83" i="6"/>
  <c r="AI83" i="6" s="1"/>
  <c r="V80" i="6"/>
  <c r="AI80" i="6" s="1"/>
  <c r="V77" i="6"/>
  <c r="AI77" i="6" s="1"/>
  <c r="V74" i="6"/>
  <c r="AI74" i="6" s="1"/>
  <c r="V71" i="6"/>
  <c r="AI71" i="6" s="1"/>
  <c r="V68" i="6"/>
  <c r="AI68" i="6" s="1"/>
  <c r="V65" i="6"/>
  <c r="AI65" i="6" s="1"/>
  <c r="V62" i="6"/>
  <c r="AI62" i="6" s="1"/>
  <c r="V59" i="6"/>
  <c r="AI59" i="6" s="1"/>
  <c r="V56" i="6"/>
  <c r="AI56" i="6" s="1"/>
  <c r="V53" i="6"/>
  <c r="AI53" i="6" s="1"/>
  <c r="V50" i="6"/>
  <c r="AI50" i="6" s="1"/>
  <c r="V47" i="6"/>
  <c r="AI47" i="6" s="1"/>
  <c r="V44" i="6"/>
  <c r="AI44" i="6" s="1"/>
  <c r="V41" i="6"/>
  <c r="AI41" i="6" s="1"/>
  <c r="V38" i="6"/>
  <c r="AI38" i="6" s="1"/>
  <c r="V35" i="6"/>
  <c r="AI35" i="6" s="1"/>
  <c r="V32" i="6"/>
  <c r="AI32" i="6" s="1"/>
  <c r="V29" i="6"/>
  <c r="AI29" i="6" s="1"/>
  <c r="V26" i="6"/>
  <c r="AI26" i="6" s="1"/>
  <c r="V23" i="6"/>
  <c r="AI23" i="6" s="1"/>
  <c r="V20" i="6"/>
  <c r="AI20" i="6" s="1"/>
  <c r="V17" i="6"/>
  <c r="AI17" i="6" s="1"/>
  <c r="V14" i="6"/>
  <c r="AI14" i="6" s="1"/>
  <c r="V11" i="6"/>
  <c r="AI11" i="6" s="1"/>
  <c r="V8" i="6"/>
  <c r="AI8" i="6" s="1"/>
  <c r="V5" i="6"/>
  <c r="AI5" i="6" s="1"/>
  <c r="V2" i="6"/>
  <c r="AI2" i="6" s="1"/>
  <c r="F264" i="2"/>
  <c r="X264" i="2"/>
  <c r="X261" i="2"/>
  <c r="AA264" i="2"/>
  <c r="AB264" i="2"/>
  <c r="AC264" i="2"/>
  <c r="AD264" i="2"/>
  <c r="AE264" i="2"/>
  <c r="Z264" i="2"/>
  <c r="AA261" i="2"/>
  <c r="AB261" i="2"/>
  <c r="AC261" i="2"/>
  <c r="AD261" i="2"/>
  <c r="AE261" i="2"/>
  <c r="Z261" i="2"/>
  <c r="S264" i="2"/>
  <c r="T264" i="2"/>
  <c r="U264" i="2"/>
  <c r="R264" i="2"/>
  <c r="P264" i="2"/>
  <c r="S261" i="2"/>
  <c r="T261" i="2"/>
  <c r="U261" i="2"/>
  <c r="R261" i="2"/>
  <c r="P261" i="2"/>
  <c r="F261" i="2"/>
  <c r="W265" i="2"/>
  <c r="S265" i="2"/>
  <c r="T265" i="2"/>
  <c r="U265" i="2"/>
  <c r="V265" i="2"/>
  <c r="R265" i="2"/>
  <c r="P265" i="2"/>
  <c r="AE265" i="2"/>
  <c r="AA265" i="2"/>
  <c r="AB265" i="2"/>
  <c r="AC265" i="2"/>
  <c r="AD265" i="2"/>
  <c r="Z265" i="2"/>
  <c r="AA262" i="2"/>
  <c r="AB262" i="2"/>
  <c r="AC262" i="2"/>
  <c r="AD262" i="2"/>
  <c r="AE262" i="2"/>
  <c r="Z262" i="2"/>
  <c r="X262" i="2"/>
  <c r="U262" i="2"/>
  <c r="S262" i="2"/>
  <c r="T262" i="2"/>
  <c r="R262" i="2"/>
  <c r="P262" i="2"/>
  <c r="F265" i="2"/>
  <c r="F262" i="2"/>
  <c r="P260" i="2"/>
  <c r="AD263" i="2"/>
  <c r="AD260" i="2" s="1"/>
  <c r="AE263" i="2"/>
  <c r="AE260" i="2" s="1"/>
  <c r="AA263" i="2"/>
  <c r="AA260" i="2" s="1"/>
  <c r="AB263" i="2"/>
  <c r="AB260" i="2" s="1"/>
  <c r="AC263" i="2"/>
  <c r="AC260" i="2" s="1"/>
  <c r="Z263" i="2"/>
  <c r="Z260" i="2" s="1"/>
  <c r="X263" i="2"/>
  <c r="X260" i="2" s="1"/>
  <c r="P263" i="2"/>
  <c r="S263" i="2"/>
  <c r="S260" i="2" s="1"/>
  <c r="T263" i="2"/>
  <c r="T260" i="2" s="1"/>
  <c r="U263" i="2"/>
  <c r="U260" i="2" s="1"/>
  <c r="V263" i="2"/>
  <c r="R263" i="2"/>
  <c r="R260" i="2" s="1"/>
  <c r="F263" i="2"/>
  <c r="F260" i="2"/>
  <c r="Y264" i="2"/>
  <c r="G264" i="2"/>
  <c r="H264" i="2"/>
  <c r="I264" i="2"/>
  <c r="J264" i="2"/>
  <c r="K264" i="2"/>
  <c r="L264" i="2"/>
  <c r="M264" i="2"/>
  <c r="N264" i="2"/>
  <c r="O264" i="2"/>
  <c r="Q264" i="2"/>
  <c r="V264" i="2"/>
  <c r="W264" i="2"/>
  <c r="E264" i="2"/>
  <c r="G265" i="2"/>
  <c r="H265" i="2"/>
  <c r="I265" i="2"/>
  <c r="J265" i="2"/>
  <c r="K265" i="2"/>
  <c r="L265" i="2"/>
  <c r="M265" i="2"/>
  <c r="N265" i="2"/>
  <c r="O265" i="2"/>
  <c r="Q265" i="2"/>
  <c r="Y265" i="2"/>
  <c r="E265" i="2"/>
  <c r="Y263" i="2"/>
  <c r="W263" i="2"/>
  <c r="G263" i="2"/>
  <c r="H263" i="2"/>
  <c r="I263" i="2"/>
  <c r="J263" i="2"/>
  <c r="K263" i="2"/>
  <c r="L263" i="2"/>
  <c r="M263" i="2"/>
  <c r="N263" i="2"/>
  <c r="O263" i="2"/>
  <c r="Q263" i="2"/>
  <c r="E263" i="2"/>
  <c r="V371" i="2"/>
  <c r="V368" i="2"/>
  <c r="V365" i="2"/>
  <c r="V362" i="2"/>
  <c r="V359" i="2"/>
  <c r="V356" i="2"/>
  <c r="V353" i="2"/>
  <c r="V350" i="2"/>
  <c r="V347" i="2"/>
  <c r="V344" i="2"/>
  <c r="V341" i="2"/>
  <c r="V338" i="2"/>
  <c r="V335" i="2"/>
  <c r="V332" i="2"/>
  <c r="V329" i="2"/>
  <c r="V326" i="2"/>
  <c r="V323" i="2"/>
  <c r="V320" i="2"/>
  <c r="V317" i="2"/>
  <c r="V314" i="2"/>
  <c r="V311" i="2"/>
  <c r="V308" i="2"/>
  <c r="V305" i="2"/>
  <c r="V302" i="2"/>
  <c r="V299" i="2"/>
  <c r="V296" i="2"/>
  <c r="V293" i="2"/>
  <c r="V290" i="2"/>
  <c r="V287" i="2"/>
  <c r="V284" i="2"/>
  <c r="V281" i="2"/>
  <c r="V278" i="2"/>
  <c r="V275" i="2"/>
  <c r="V272" i="2"/>
  <c r="V269" i="2"/>
  <c r="V266" i="2"/>
  <c r="V260" i="2"/>
  <c r="V257" i="2"/>
  <c r="V254" i="2"/>
  <c r="V251" i="2"/>
  <c r="V248" i="2"/>
  <c r="V245" i="2"/>
  <c r="V242" i="2"/>
  <c r="V239" i="2"/>
  <c r="V236" i="2"/>
  <c r="V233" i="2"/>
  <c r="V230" i="2"/>
  <c r="V227" i="2"/>
  <c r="V224" i="2"/>
  <c r="V221" i="2"/>
  <c r="V218" i="2"/>
  <c r="V215" i="2"/>
  <c r="V212" i="2"/>
  <c r="V209" i="2"/>
  <c r="V206" i="2"/>
  <c r="V203" i="2"/>
  <c r="V200" i="2"/>
  <c r="V197" i="2"/>
  <c r="V194" i="2"/>
  <c r="V191" i="2"/>
  <c r="V188" i="2"/>
  <c r="V185" i="2"/>
  <c r="V182" i="2"/>
  <c r="V179" i="2"/>
  <c r="V176" i="2"/>
  <c r="V173" i="2"/>
  <c r="V170" i="2"/>
  <c r="V167" i="2"/>
  <c r="V164" i="2"/>
  <c r="V161" i="2"/>
  <c r="V158" i="2"/>
  <c r="V155" i="2"/>
  <c r="V152" i="2"/>
  <c r="V149" i="2"/>
  <c r="V146" i="2"/>
  <c r="V143" i="2"/>
  <c r="V140" i="2"/>
  <c r="V137" i="2"/>
  <c r="V134" i="2"/>
  <c r="V131" i="2"/>
  <c r="V128" i="2"/>
  <c r="V125" i="2"/>
  <c r="V122" i="2"/>
  <c r="V119" i="2"/>
  <c r="V116" i="2"/>
  <c r="V113" i="2"/>
  <c r="V110" i="2"/>
  <c r="V107" i="2"/>
  <c r="V104" i="2"/>
  <c r="V101" i="2"/>
  <c r="V98" i="2"/>
  <c r="V95" i="2"/>
  <c r="V92" i="2"/>
  <c r="V89" i="2"/>
  <c r="V86" i="2"/>
  <c r="V83" i="2"/>
  <c r="V80" i="2"/>
  <c r="V77" i="2"/>
  <c r="V74" i="2"/>
  <c r="V71" i="2"/>
  <c r="V68" i="2"/>
  <c r="V65" i="2"/>
  <c r="V62" i="2"/>
  <c r="V59" i="2"/>
  <c r="V56" i="2"/>
  <c r="V53" i="2"/>
  <c r="V50" i="2"/>
  <c r="V47" i="2"/>
  <c r="V44" i="2"/>
  <c r="V41" i="2"/>
  <c r="V38" i="2"/>
  <c r="V35" i="2"/>
  <c r="V32" i="2"/>
  <c r="V29" i="2"/>
  <c r="V26" i="2"/>
  <c r="V23" i="2"/>
  <c r="V20" i="2"/>
  <c r="V17" i="2"/>
  <c r="V14" i="2"/>
  <c r="V11" i="2"/>
  <c r="V8" i="2"/>
  <c r="V5" i="2"/>
  <c r="V2" i="2"/>
  <c r="K89" i="4"/>
  <c r="AJ265" i="6" l="1"/>
  <c r="AK262" i="6"/>
  <c r="AK263" i="6"/>
  <c r="AG261" i="6"/>
  <c r="AK264" i="6"/>
  <c r="I75" i="13"/>
  <c r="L77" i="13"/>
  <c r="L75" i="13"/>
  <c r="I77" i="13"/>
  <c r="O75" i="13"/>
  <c r="O77" i="13"/>
  <c r="E77" i="13"/>
  <c r="E75" i="13"/>
  <c r="N77" i="13"/>
  <c r="N75" i="13"/>
  <c r="M77" i="13"/>
  <c r="D75" i="13"/>
  <c r="C77" i="13"/>
  <c r="C75" i="13"/>
  <c r="B77" i="13"/>
  <c r="J77" i="13"/>
  <c r="J75" i="13"/>
  <c r="H77" i="13"/>
  <c r="G75" i="13"/>
  <c r="G77" i="13"/>
  <c r="H75" i="13"/>
  <c r="M75" i="13"/>
  <c r="D77" i="13"/>
  <c r="B75" i="13"/>
  <c r="AG265" i="6"/>
  <c r="G301" i="9"/>
  <c r="G265" i="9"/>
  <c r="G298" i="9"/>
  <c r="G262" i="9"/>
  <c r="AJ262" i="6"/>
  <c r="AJ260" i="6"/>
  <c r="AG263" i="6"/>
  <c r="D26" i="7"/>
  <c r="D22" i="7"/>
  <c r="D24" i="7"/>
  <c r="D23" i="7"/>
  <c r="D31" i="7"/>
  <c r="D30" i="7"/>
  <c r="D29" i="7"/>
  <c r="D16" i="7"/>
  <c r="D19" i="7"/>
  <c r="D17" i="7"/>
  <c r="D15" i="7"/>
  <c r="AI265" i="6"/>
  <c r="AG264" i="6"/>
  <c r="AI257" i="6"/>
  <c r="AH263" i="6"/>
  <c r="AH260" i="6" s="1"/>
</calcChain>
</file>

<file path=xl/sharedStrings.xml><?xml version="1.0" encoding="utf-8"?>
<sst xmlns="http://schemas.openxmlformats.org/spreadsheetml/2006/main" count="4402" uniqueCount="81">
  <si>
    <t>Sector</t>
  </si>
  <si>
    <t>Year</t>
  </si>
  <si>
    <t>Month</t>
  </si>
  <si>
    <t>Cereals and products</t>
  </si>
  <si>
    <t>Meat and fish</t>
  </si>
  <si>
    <t>Egg</t>
  </si>
  <si>
    <t>Milk and products</t>
  </si>
  <si>
    <t>Oils and fats</t>
  </si>
  <si>
    <t>Fruits</t>
  </si>
  <si>
    <t>Vegetables</t>
  </si>
  <si>
    <t>Pulses and products</t>
  </si>
  <si>
    <t>Sugar and Confectionery</t>
  </si>
  <si>
    <t>Spices</t>
  </si>
  <si>
    <t>Non-alcoholic beverages</t>
  </si>
  <si>
    <t>Prepared meals, snacks, sweets etc.</t>
  </si>
  <si>
    <t>Food and beverages</t>
  </si>
  <si>
    <t>Pan, tobacco and intoxicants</t>
  </si>
  <si>
    <t>Clothing</t>
  </si>
  <si>
    <t>Footwear</t>
  </si>
  <si>
    <t>Clothing and footwear</t>
  </si>
  <si>
    <t>Housing</t>
  </si>
  <si>
    <t>Fuel and light</t>
  </si>
  <si>
    <t>Household goods and services</t>
  </si>
  <si>
    <t>Health</t>
  </si>
  <si>
    <t>Transport and communication</t>
  </si>
  <si>
    <t>Recreation and amusement</t>
  </si>
  <si>
    <t>Education</t>
  </si>
  <si>
    <t>Personal care and effects</t>
  </si>
  <si>
    <t>Miscellaneous</t>
  </si>
  <si>
    <t>General index</t>
  </si>
  <si>
    <t>Rural</t>
  </si>
  <si>
    <t>January</t>
  </si>
  <si>
    <t>NA</t>
  </si>
  <si>
    <t>Urban</t>
  </si>
  <si>
    <t>Rural+Urban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</si>
  <si>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</si>
  <si>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</si>
  <si>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</si>
  <si>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</si>
  <si>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</si>
  <si>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</si>
  <si>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</si>
  <si>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</si>
  <si>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</si>
  <si>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</si>
  <si>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</si>
  <si>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Marcrh</t>
  </si>
  <si>
    <t>-</t>
  </si>
  <si>
    <t>Food</t>
  </si>
  <si>
    <t>House</t>
  </si>
  <si>
    <t>Others</t>
  </si>
  <si>
    <t>S. No.</t>
  </si>
  <si>
    <t>Food Bucket</t>
  </si>
  <si>
    <t>Buckets</t>
  </si>
  <si>
    <t>Total Category Index</t>
  </si>
  <si>
    <t>Category Contributuion % in Rural</t>
  </si>
  <si>
    <t>Pan Tobacco, and Intoxicant</t>
  </si>
  <si>
    <t>Category Contributuion % in Urban</t>
  </si>
  <si>
    <t>Insight</t>
  </si>
  <si>
    <t>In all the sector Pan, Tobacco, and Intoxicant has the highest contribution in CPI.</t>
  </si>
  <si>
    <t>YOY Inflation</t>
  </si>
  <si>
    <t xml:space="preserve">Insight </t>
  </si>
  <si>
    <t>By seeing the graph we can imply that 2022 has the highest inflation rate.</t>
  </si>
  <si>
    <t>MOM Inflation</t>
  </si>
  <si>
    <t>With the MOM inflation we can see that June 2022 has the heighest inflation and Feburary 2023 has the lowest food inflation.</t>
  </si>
  <si>
    <t>Absolute Change in CPI Over the 12 Months</t>
  </si>
  <si>
    <t xml:space="preserve">In all the sector Spices has the highest individual contributor toward inflation. </t>
  </si>
  <si>
    <t>MOM</t>
  </si>
  <si>
    <t xml:space="preserve">Household </t>
  </si>
  <si>
    <t>Fuel</t>
  </si>
  <si>
    <t>Rural +Urban</t>
  </si>
  <si>
    <t>Average MOM Inflation Range of Pre Covid</t>
  </si>
  <si>
    <t>Average MOM Inflation range of Post Covid</t>
  </si>
  <si>
    <t>While comparing all the three sectors, we can see that Food has the highest inflation in Post Covid.</t>
  </si>
  <si>
    <t>Crude Oil</t>
  </si>
  <si>
    <t xml:space="preserve">Year-Month </t>
  </si>
  <si>
    <t>Crude Oil Value in Rupees</t>
  </si>
  <si>
    <t>Categories</t>
  </si>
  <si>
    <t>Area</t>
  </si>
  <si>
    <t>Rural + Urban</t>
  </si>
  <si>
    <t>Correlation (2021-2023)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</si>
</sst>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8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CC00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</fills>
  <borders count="15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rgb="FFCCCCCC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rgb="FFCCCCCC"/>
      </bottom>
      <diagonal/>
    </border>
    <border>
      <left style="medium">
        <color indexed="64"/>
      </left>
      <right style="medium">
        <color indexed="64"/>
      </right>
      <top style="medium">
        <color rgb="FFCCCCCC"/>
      </top>
      <bottom style="medium">
        <color indexed="64"/>
      </bottom>
      <diagonal/>
    </border>
  </borders>
  <cellStyleXfs count="1">
    <xf numFmtId="0" fontId="0" fillId="0" borderId="0"/>
  </cellStyleXfs>
  <cellXfs count="75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0" fontId="1" fillId="0" borderId="1" xfId="0" applyFont="1" applyBorder="1"/>
    <xf numFmtId="0" fontId="0" fillId="2" borderId="0" xfId="0" applyFill="1"/>
    <xf numFmtId="0" fontId="1" fillId="0" borderId="3" xfId="0" applyFont="1" applyBorder="1"/>
    <xf numFmtId="0" fontId="0" fillId="2" borderId="2" xfId="0" applyFill="1" applyBorder="1"/>
    <xf numFmtId="0" fontId="1" fillId="2" borderId="1" xfId="0" applyFont="1" applyFill="1" applyBorder="1"/>
    <xf numFmtId="0" fontId="1" fillId="2" borderId="2" xfId="0" applyFont="1" applyFill="1" applyBorder="1"/>
    <xf numFmtId="0" fontId="3" fillId="0" borderId="1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1" fillId="0" borderId="3" xfId="0" applyFont="1" applyBorder="1" applyAlignment="1">
      <alignment horizontal="right" wrapText="1"/>
    </xf>
    <xf numFmtId="0" fontId="2" fillId="0" borderId="6" xfId="0" applyFont="1" applyBorder="1"/>
    <xf numFmtId="0" fontId="2" fillId="3" borderId="4" xfId="0" applyFont="1" applyFill="1" applyBorder="1"/>
    <xf numFmtId="0" fontId="3" fillId="3" borderId="5" xfId="0" applyFont="1" applyFill="1" applyBorder="1"/>
    <xf numFmtId="0" fontId="2" fillId="3" borderId="6" xfId="0" applyFont="1" applyFill="1" applyBorder="1"/>
    <xf numFmtId="2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1" fillId="0" borderId="1" xfId="0" applyNumberFormat="1" applyFont="1" applyBorder="1" applyAlignment="1">
      <alignment horizontal="right" wrapText="1"/>
    </xf>
    <xf numFmtId="164" fontId="3" fillId="0" borderId="1" xfId="0" applyNumberFormat="1" applyFont="1" applyBorder="1" applyAlignment="1">
      <alignment wrapText="1"/>
    </xf>
    <xf numFmtId="164" fontId="0" fillId="0" borderId="0" xfId="0" applyNumberFormat="1"/>
    <xf numFmtId="0" fontId="3" fillId="3" borderId="2" xfId="0" applyFont="1" applyFill="1" applyBorder="1"/>
    <xf numFmtId="0" fontId="2" fillId="3" borderId="2" xfId="0" applyFont="1" applyFill="1" applyBorder="1"/>
    <xf numFmtId="2" fontId="0" fillId="0" borderId="0" xfId="0" applyNumberFormat="1"/>
    <xf numFmtId="0" fontId="3" fillId="3" borderId="8" xfId="0" applyFont="1" applyFill="1" applyBorder="1"/>
    <xf numFmtId="0" fontId="0" fillId="0" borderId="9" xfId="0" applyBorder="1"/>
    <xf numFmtId="0" fontId="0" fillId="0" borderId="9" xfId="0" applyBorder="1" applyAlignment="1">
      <alignment wrapText="1"/>
    </xf>
    <xf numFmtId="164" fontId="0" fillId="0" borderId="9" xfId="0" applyNumberFormat="1" applyBorder="1"/>
    <xf numFmtId="164" fontId="0" fillId="0" borderId="9" xfId="0" applyNumberFormat="1" applyBorder="1" applyAlignment="1">
      <alignment wrapText="1"/>
    </xf>
    <xf numFmtId="0" fontId="0" fillId="0" borderId="10" xfId="0" applyBorder="1"/>
    <xf numFmtId="0" fontId="0" fillId="0" borderId="10" xfId="0" applyBorder="1" applyAlignment="1">
      <alignment wrapText="1"/>
    </xf>
    <xf numFmtId="164" fontId="3" fillId="3" borderId="7" xfId="0" applyNumberFormat="1" applyFont="1" applyFill="1" applyBorder="1"/>
    <xf numFmtId="0" fontId="2" fillId="2" borderId="4" xfId="0" applyFont="1" applyFill="1" applyBorder="1"/>
    <xf numFmtId="0" fontId="2" fillId="0" borderId="2" xfId="0" applyFont="1" applyBorder="1"/>
    <xf numFmtId="0" fontId="0" fillId="0" borderId="6" xfId="0" applyBorder="1"/>
    <xf numFmtId="0" fontId="0" fillId="0" borderId="11" xfId="0" applyBorder="1"/>
    <xf numFmtId="0" fontId="2" fillId="0" borderId="0" xfId="0" applyFont="1"/>
    <xf numFmtId="0" fontId="3" fillId="3" borderId="0" xfId="0" applyFont="1" applyFill="1"/>
    <xf numFmtId="0" fontId="0" fillId="2" borderId="4" xfId="0" applyFill="1" applyBorder="1"/>
    <xf numFmtId="0" fontId="0" fillId="4" borderId="11" xfId="0" applyFill="1" applyBorder="1"/>
    <xf numFmtId="0" fontId="1" fillId="5" borderId="1" xfId="0" applyFont="1" applyFill="1" applyBorder="1" applyAlignment="1">
      <alignment wrapText="1"/>
    </xf>
    <xf numFmtId="0" fontId="1" fillId="5" borderId="1" xfId="0" applyFont="1" applyFill="1" applyBorder="1" applyAlignment="1">
      <alignment horizontal="right" wrapText="1"/>
    </xf>
    <xf numFmtId="164" fontId="0" fillId="5" borderId="0" xfId="0" applyNumberFormat="1" applyFill="1"/>
    <xf numFmtId="0" fontId="0" fillId="5" borderId="0" xfId="0" applyFill="1"/>
    <xf numFmtId="2" fontId="0" fillId="5" borderId="0" xfId="0" applyNumberFormat="1" applyFill="1"/>
    <xf numFmtId="0" fontId="1" fillId="6" borderId="1" xfId="0" applyFont="1" applyFill="1" applyBorder="1" applyAlignment="1">
      <alignment wrapText="1"/>
    </xf>
    <xf numFmtId="0" fontId="1" fillId="6" borderId="1" xfId="0" applyFont="1" applyFill="1" applyBorder="1" applyAlignment="1">
      <alignment horizontal="right" wrapText="1"/>
    </xf>
    <xf numFmtId="164" fontId="0" fillId="6" borderId="0" xfId="0" applyNumberFormat="1" applyFill="1"/>
    <xf numFmtId="0" fontId="0" fillId="6" borderId="0" xfId="0" applyFill="1"/>
    <xf numFmtId="2" fontId="0" fillId="6" borderId="0" xfId="0" applyNumberFormat="1" applyFill="1"/>
    <xf numFmtId="0" fontId="4" fillId="2" borderId="0" xfId="0" applyFont="1" applyFill="1" applyAlignment="1">
      <alignment horizontal="center"/>
    </xf>
    <xf numFmtId="0" fontId="3" fillId="7" borderId="5" xfId="0" applyFont="1" applyFill="1" applyBorder="1"/>
    <xf numFmtId="0" fontId="0" fillId="7" borderId="0" xfId="0" applyFill="1"/>
    <xf numFmtId="0" fontId="3" fillId="7" borderId="12" xfId="0" applyFont="1" applyFill="1" applyBorder="1" applyAlignment="1">
      <alignment wrapText="1"/>
    </xf>
    <xf numFmtId="0" fontId="3" fillId="7" borderId="13" xfId="0" applyFont="1" applyFill="1" applyBorder="1" applyAlignment="1">
      <alignment wrapText="1"/>
    </xf>
    <xf numFmtId="0" fontId="3" fillId="7" borderId="14" xfId="0" applyFont="1" applyFill="1" applyBorder="1"/>
    <xf numFmtId="0" fontId="3" fillId="3" borderId="6" xfId="0" applyFont="1" applyFill="1" applyBorder="1"/>
    <xf numFmtId="0" fontId="1" fillId="0" borderId="0" xfId="0" applyFont="1" applyAlignment="1">
      <alignment horizontal="right" wrapText="1"/>
    </xf>
    <xf numFmtId="164" fontId="1" fillId="0" borderId="0" xfId="0" applyNumberFormat="1" applyFont="1" applyAlignment="1">
      <alignment wrapText="1"/>
    </xf>
    <xf numFmtId="164" fontId="3" fillId="0" borderId="0" xfId="0" applyNumberFormat="1" applyFont="1" applyAlignment="1">
      <alignment wrapText="1"/>
    </xf>
    <xf numFmtId="0" fontId="3" fillId="0" borderId="0" xfId="0" applyFont="1" applyAlignment="1">
      <alignment wrapText="1"/>
    </xf>
    <xf numFmtId="2" fontId="1" fillId="0" borderId="1" xfId="0" applyNumberFormat="1" applyFont="1" applyBorder="1" applyAlignment="1">
      <alignment horizontal="right" wrapText="1"/>
    </xf>
    <xf numFmtId="2" fontId="1" fillId="0" borderId="0" xfId="0" applyNumberFormat="1" applyFont="1" applyAlignment="1">
      <alignment horizontal="right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2" fillId="0" borderId="4" xfId="0" applyFont="1" applyBorder="1"/>
    <xf numFmtId="0" fontId="2" fillId="0" borderId="11" xfId="0" applyFont="1" applyBorder="1"/>
    <xf numFmtId="0" fontId="0" fillId="0" borderId="2" xfId="0" applyBorder="1"/>
    <xf numFmtId="0" fontId="2" fillId="2" borderId="0" xfId="0" applyFont="1" applyFill="1" applyAlignment="1">
      <alignment wrapText="1"/>
    </xf>
    <xf numFmtId="0" fontId="2" fillId="2" borderId="0" xfId="0" applyFont="1" applyFill="1"/>
    <xf numFmtId="17" fontId="0" fillId="0" borderId="9" xfId="0" applyNumberFormat="1" applyBorder="1"/>
    <xf numFmtId="0" fontId="2" fillId="0" borderId="9" xfId="0" applyFont="1" applyBorder="1"/>
    <xf numFmtId="0" fontId="2" fillId="0" borderId="10" xfId="0" applyFont="1" applyBorder="1" applyAlignment="1">
      <alignment wrapText="1"/>
    </xf>
    <xf numFmtId="0" fontId="2" fillId="8" borderId="0" xfId="0" applyFont="1" applyFill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FB48-44CD-A581-DA103B5F970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FB48-44CD-A581-DA103B5F970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FB48-44CD-A581-DA103B5F970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FB48-44CD-A581-DA103B5F970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FB48-44CD-A581-DA103B5F970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1st'!$C$15:$C$19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1st'!$D$15:$D$19</c:f>
              <c:numCache>
                <c:formatCode>0.0</c:formatCode>
                <c:ptCount val="5"/>
                <c:pt idx="0">
                  <c:v>19.055501946561076</c:v>
                </c:pt>
                <c:pt idx="1">
                  <c:v>21.617642165507601</c:v>
                </c:pt>
                <c:pt idx="2">
                  <c:v>19.389911156956043</c:v>
                </c:pt>
                <c:pt idx="3">
                  <c:v>20.543428831286946</c:v>
                </c:pt>
                <c:pt idx="4">
                  <c:v>19.393515899688328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D-4B92-B6FF-910101999EDF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Urban May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0442-43D8-A519-EF61A108B3C3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0442-43D8-A519-EF61A108B3C3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0442-43D8-A519-EF61A108B3C3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0442-43D8-A519-EF61A108B3C3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0442-43D8-A519-EF61A108B3C3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1st'!$C$22:$C$26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1st'!$D$22:$D$26</c:f>
              <c:numCache>
                <c:formatCode>0.0</c:formatCode>
                <c:ptCount val="5"/>
                <c:pt idx="0">
                  <c:v>19.730349357277245</c:v>
                </c:pt>
                <c:pt idx="1">
                  <c:v>22.429953922242372</c:v>
                </c:pt>
                <c:pt idx="2">
                  <c:v>19.372655273030428</c:v>
                </c:pt>
                <c:pt idx="3">
                  <c:v>19.358009530998277</c:v>
                </c:pt>
                <c:pt idx="4">
                  <c:v>19.109031916451674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28-44DE-98C9-713BB01973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/>
              <a:t>Rural + Urban 2023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5C0-4FAD-8CFA-51F1B2682FB5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5C0-4FAD-8CFA-51F1B2682FB5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5C0-4FAD-8CFA-51F1B2682FB5}"/>
              </c:ext>
            </c:extLst>
          </c:dPt>
          <c:dPt>
            <c:idx val="3"/>
            <c:bubble3D val="0"/>
            <c:spPr>
              <a:gradFill rotWithShape="1">
                <a:gsLst>
                  <a:gs pos="0">
                    <a:schemeClr val="accent4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4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4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5C0-4FAD-8CFA-51F1B2682FB5}"/>
              </c:ext>
            </c:extLst>
          </c:dPt>
          <c:dPt>
            <c:idx val="4"/>
            <c:bubble3D val="0"/>
            <c:spPr>
              <a:gradFill rotWithShape="1">
                <a:gsLst>
                  <a:gs pos="0">
                    <a:schemeClr val="accent5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5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5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5C0-4FAD-8CFA-51F1B2682F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>
                  <a:solidFill>
                    <a:schemeClr val="lt1">
                      <a:lumMod val="95000"/>
                      <a:alpha val="54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'Question 1st'!$C$29:$C$33</c:f>
              <c:strCache>
                <c:ptCount val="5"/>
                <c:pt idx="0">
                  <c:v>Food Bucket</c:v>
                </c:pt>
                <c:pt idx="1">
                  <c:v>Pan Tobacco, and Intoxicant</c:v>
                </c:pt>
                <c:pt idx="2">
                  <c:v>House</c:v>
                </c:pt>
                <c:pt idx="3">
                  <c:v>Clothing</c:v>
                </c:pt>
                <c:pt idx="4">
                  <c:v>Others</c:v>
                </c:pt>
              </c:strCache>
            </c:strRef>
          </c:cat>
          <c:val>
            <c:numRef>
              <c:f>'Question 1st'!$D$29:$D$33</c:f>
              <c:numCache>
                <c:formatCode>0.0</c:formatCode>
                <c:ptCount val="5"/>
                <c:pt idx="0">
                  <c:v>19.344451541040613</c:v>
                </c:pt>
                <c:pt idx="1">
                  <c:v>21.911245340820631</c:v>
                </c:pt>
                <c:pt idx="2">
                  <c:v>19.38945358849401</c:v>
                </c:pt>
                <c:pt idx="3">
                  <c:v>20.101659904713056</c:v>
                </c:pt>
                <c:pt idx="4">
                  <c:v>19.253189624931693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B2-46C0-A9BE-E332941FF25D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'Question 2nd'!$G$1</c:f>
              <c:strCache>
                <c:ptCount val="1"/>
                <c:pt idx="0">
                  <c:v>YOY Inflation</c:v>
                </c:pt>
              </c:strCache>
            </c:strRef>
          </c:tx>
          <c:spPr>
            <a:ln w="22225" cap="rnd">
              <a:solidFill>
                <a:schemeClr val="accent1"/>
              </a:solidFill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none"/>
          </c:marker>
          <c:xVal>
            <c:numRef>
              <c:f>'Question 2nd'!$C$2:$C$373</c:f>
              <c:numCache>
                <c:formatCode>General</c:formatCode>
                <c:ptCount val="76"/>
                <c:pt idx="0">
                  <c:v>2017</c:v>
                </c:pt>
                <c:pt idx="1">
                  <c:v>2017</c:v>
                </c:pt>
                <c:pt idx="2">
                  <c:v>2017</c:v>
                </c:pt>
                <c:pt idx="3">
                  <c:v>2017</c:v>
                </c:pt>
                <c:pt idx="4">
                  <c:v>2017</c:v>
                </c:pt>
                <c:pt idx="5">
                  <c:v>2017</c:v>
                </c:pt>
                <c:pt idx="6">
                  <c:v>2017</c:v>
                </c:pt>
                <c:pt idx="7">
                  <c:v>2017</c:v>
                </c:pt>
                <c:pt idx="8">
                  <c:v>2017</c:v>
                </c:pt>
                <c:pt idx="9">
                  <c:v>2017</c:v>
                </c:pt>
                <c:pt idx="10">
                  <c:v>2017</c:v>
                </c:pt>
                <c:pt idx="11">
                  <c:v>2017</c:v>
                </c:pt>
                <c:pt idx="12">
                  <c:v>2018</c:v>
                </c:pt>
                <c:pt idx="13">
                  <c:v>2018</c:v>
                </c:pt>
                <c:pt idx="14">
                  <c:v>2018</c:v>
                </c:pt>
                <c:pt idx="15">
                  <c:v>2018</c:v>
                </c:pt>
                <c:pt idx="16">
                  <c:v>2018</c:v>
                </c:pt>
                <c:pt idx="17">
                  <c:v>2018</c:v>
                </c:pt>
                <c:pt idx="18">
                  <c:v>2018</c:v>
                </c:pt>
                <c:pt idx="19">
                  <c:v>2018</c:v>
                </c:pt>
                <c:pt idx="20">
                  <c:v>2018</c:v>
                </c:pt>
                <c:pt idx="21">
                  <c:v>2018</c:v>
                </c:pt>
                <c:pt idx="22">
                  <c:v>2018</c:v>
                </c:pt>
                <c:pt idx="23">
                  <c:v>2018</c:v>
                </c:pt>
                <c:pt idx="24">
                  <c:v>2019</c:v>
                </c:pt>
                <c:pt idx="25">
                  <c:v>2019</c:v>
                </c:pt>
                <c:pt idx="26">
                  <c:v>2019</c:v>
                </c:pt>
                <c:pt idx="27">
                  <c:v>2019</c:v>
                </c:pt>
                <c:pt idx="28">
                  <c:v>2019</c:v>
                </c:pt>
                <c:pt idx="29">
                  <c:v>2019</c:v>
                </c:pt>
                <c:pt idx="30">
                  <c:v>2019</c:v>
                </c:pt>
                <c:pt idx="31">
                  <c:v>2019</c:v>
                </c:pt>
                <c:pt idx="32">
                  <c:v>2019</c:v>
                </c:pt>
                <c:pt idx="33">
                  <c:v>2019</c:v>
                </c:pt>
                <c:pt idx="34">
                  <c:v>2019</c:v>
                </c:pt>
                <c:pt idx="35">
                  <c:v>2020</c:v>
                </c:pt>
                <c:pt idx="36">
                  <c:v>2020</c:v>
                </c:pt>
                <c:pt idx="37">
                  <c:v>2020</c:v>
                </c:pt>
                <c:pt idx="38">
                  <c:v>2020</c:v>
                </c:pt>
                <c:pt idx="39">
                  <c:v>2020</c:v>
                </c:pt>
                <c:pt idx="40">
                  <c:v>2020</c:v>
                </c:pt>
                <c:pt idx="41">
                  <c:v>2020</c:v>
                </c:pt>
                <c:pt idx="42">
                  <c:v>2020</c:v>
                </c:pt>
                <c:pt idx="43">
                  <c:v>2020</c:v>
                </c:pt>
                <c:pt idx="44">
                  <c:v>2020</c:v>
                </c:pt>
                <c:pt idx="45">
                  <c:v>2020</c:v>
                </c:pt>
                <c:pt idx="46">
                  <c:v>2020</c:v>
                </c:pt>
                <c:pt idx="47">
                  <c:v>2021</c:v>
                </c:pt>
                <c:pt idx="48">
                  <c:v>2021</c:v>
                </c:pt>
                <c:pt idx="49">
                  <c:v>2021</c:v>
                </c:pt>
                <c:pt idx="50">
                  <c:v>2021</c:v>
                </c:pt>
                <c:pt idx="51">
                  <c:v>2021</c:v>
                </c:pt>
                <c:pt idx="52">
                  <c:v>2021</c:v>
                </c:pt>
                <c:pt idx="53">
                  <c:v>2021</c:v>
                </c:pt>
                <c:pt idx="54">
                  <c:v>2021</c:v>
                </c:pt>
                <c:pt idx="55">
                  <c:v>2021</c:v>
                </c:pt>
                <c:pt idx="56">
                  <c:v>2021</c:v>
                </c:pt>
                <c:pt idx="57">
                  <c:v>2021</c:v>
                </c:pt>
                <c:pt idx="58">
                  <c:v>2021</c:v>
                </c:pt>
                <c:pt idx="59">
                  <c:v>2022</c:v>
                </c:pt>
                <c:pt idx="60">
                  <c:v>2022</c:v>
                </c:pt>
                <c:pt idx="61">
                  <c:v>2022</c:v>
                </c:pt>
                <c:pt idx="62">
                  <c:v>2022</c:v>
                </c:pt>
                <c:pt idx="63">
                  <c:v>2022</c:v>
                </c:pt>
                <c:pt idx="64">
                  <c:v>2022</c:v>
                </c:pt>
                <c:pt idx="65">
                  <c:v>2022</c:v>
                </c:pt>
                <c:pt idx="66">
                  <c:v>2022</c:v>
                </c:pt>
                <c:pt idx="67">
                  <c:v>2022</c:v>
                </c:pt>
                <c:pt idx="68">
                  <c:v>2022</c:v>
                </c:pt>
                <c:pt idx="69">
                  <c:v>2022</c:v>
                </c:pt>
                <c:pt idx="70">
                  <c:v>2022</c:v>
                </c:pt>
                <c:pt idx="71">
                  <c:v>2023</c:v>
                </c:pt>
                <c:pt idx="72">
                  <c:v>2023</c:v>
                </c:pt>
                <c:pt idx="73">
                  <c:v>2023</c:v>
                </c:pt>
                <c:pt idx="74">
                  <c:v>2023</c:v>
                </c:pt>
                <c:pt idx="75">
                  <c:v>2023</c:v>
                </c:pt>
              </c:numCache>
            </c:numRef>
          </c:xVal>
          <c:yVal>
            <c:numRef>
              <c:f>'Question 2nd'!$G$2:$G$373</c:f>
              <c:numCache>
                <c:formatCode>0.0</c:formatCode>
                <c:ptCount val="76"/>
                <c:pt idx="0">
                  <c:v>3.1670625494853639</c:v>
                </c:pt>
                <c:pt idx="1">
                  <c:v>3.6507936507936463</c:v>
                </c:pt>
                <c:pt idx="2">
                  <c:v>3.8888888888888933</c:v>
                </c:pt>
                <c:pt idx="3">
                  <c:v>2.9850746268656696</c:v>
                </c:pt>
                <c:pt idx="4">
                  <c:v>2.1772939346811913</c:v>
                </c:pt>
                <c:pt idx="5">
                  <c:v>1.4604150653343626</c:v>
                </c:pt>
                <c:pt idx="6">
                  <c:v>2.3646071700991569</c:v>
                </c:pt>
                <c:pt idx="7">
                  <c:v>3.2799389778794903</c:v>
                </c:pt>
                <c:pt idx="8">
                  <c:v>3.2849503437738599</c:v>
                </c:pt>
                <c:pt idx="9">
                  <c:v>3.5768645357686371</c:v>
                </c:pt>
                <c:pt idx="10">
                  <c:v>4.8780487804878101</c:v>
                </c:pt>
                <c:pt idx="11">
                  <c:v>5.2147239263803549</c:v>
                </c:pt>
                <c:pt idx="12">
                  <c:v>5.0652340752110465</c:v>
                </c:pt>
                <c:pt idx="13">
                  <c:v>4.4410413476263493</c:v>
                </c:pt>
                <c:pt idx="14">
                  <c:v>4.2780748663101562</c:v>
                </c:pt>
                <c:pt idx="15">
                  <c:v>4.5766590389016022</c:v>
                </c:pt>
                <c:pt idx="16">
                  <c:v>4.8706240487062447</c:v>
                </c:pt>
                <c:pt idx="17">
                  <c:v>4.9242424242424239</c:v>
                </c:pt>
                <c:pt idx="18">
                  <c:v>4.1728763040238617</c:v>
                </c:pt>
                <c:pt idx="19">
                  <c:v>3.6927621861152145</c:v>
                </c:pt>
                <c:pt idx="20">
                  <c:v>3.6982248520710059</c:v>
                </c:pt>
                <c:pt idx="21">
                  <c:v>3.4533431300514459</c:v>
                </c:pt>
                <c:pt idx="22">
                  <c:v>2.3255813953488498</c:v>
                </c:pt>
                <c:pt idx="23">
                  <c:v>2.1137026239067098</c:v>
                </c:pt>
                <c:pt idx="24">
                  <c:v>1.972242512783045</c:v>
                </c:pt>
                <c:pt idx="25">
                  <c:v>2.5659824046920821</c:v>
                </c:pt>
                <c:pt idx="26">
                  <c:v>2.8571428571428612</c:v>
                </c:pt>
                <c:pt idx="27">
                  <c:v>3.5740335521517181</c:v>
                </c:pt>
                <c:pt idx="28">
                  <c:v>3.7010159651669037</c:v>
                </c:pt>
                <c:pt idx="29">
                  <c:v>4.115523465703963</c:v>
                </c:pt>
                <c:pt idx="30">
                  <c:v>3.7195994277539257</c:v>
                </c:pt>
                <c:pt idx="31">
                  <c:v>3.8461538461538498</c:v>
                </c:pt>
                <c:pt idx="32">
                  <c:v>4.9928673323823114</c:v>
                </c:pt>
                <c:pt idx="33">
                  <c:v>5.5397727272727151</c:v>
                </c:pt>
                <c:pt idx="34">
                  <c:v>6.8181818181818139</c:v>
                </c:pt>
                <c:pt idx="35">
                  <c:v>7.2091363311920027</c:v>
                </c:pt>
                <c:pt idx="36">
                  <c:v>6.8051575931232096</c:v>
                </c:pt>
                <c:pt idx="37">
                  <c:v>6.2187276626161463</c:v>
                </c:pt>
                <c:pt idx="38">
                  <c:v>6.6001899335232554</c:v>
                </c:pt>
                <c:pt idx="39">
                  <c:v>6.1502347417840486</c:v>
                </c:pt>
                <c:pt idx="40">
                  <c:v>6.2281315605318444</c:v>
                </c:pt>
                <c:pt idx="41">
                  <c:v>5.27045769764218</c:v>
                </c:pt>
                <c:pt idx="42">
                  <c:v>6.1379310344827624</c:v>
                </c:pt>
                <c:pt idx="43">
                  <c:v>6.1042524005486802</c:v>
                </c:pt>
                <c:pt idx="44">
                  <c:v>6.2500000000000124</c:v>
                </c:pt>
                <c:pt idx="45">
                  <c:v>6.594885598923292</c:v>
                </c:pt>
                <c:pt idx="46">
                  <c:v>5.6515957446808507</c:v>
                </c:pt>
                <c:pt idx="47">
                  <c:v>4.7270306258322385</c:v>
                </c:pt>
                <c:pt idx="48">
                  <c:v>5.0301810865191152</c:v>
                </c:pt>
                <c:pt idx="49">
                  <c:v>5.5181695827725559</c:v>
                </c:pt>
                <c:pt idx="50">
                  <c:v>5.4342984409799699</c:v>
                </c:pt>
                <c:pt idx="51">
                  <c:v>6.4130915524104308</c:v>
                </c:pt>
                <c:pt idx="52">
                  <c:v>6.2582345191040831</c:v>
                </c:pt>
                <c:pt idx="53">
                  <c:v>7.0487483530961708</c:v>
                </c:pt>
                <c:pt idx="54">
                  <c:v>6.0428849902534001</c:v>
                </c:pt>
                <c:pt idx="55">
                  <c:v>5.4945054945054954</c:v>
                </c:pt>
                <c:pt idx="56">
                  <c:v>5.8184143222506357</c:v>
                </c:pt>
                <c:pt idx="57">
                  <c:v>5.239898989898979</c:v>
                </c:pt>
                <c:pt idx="58">
                  <c:v>4.5940843297671385</c:v>
                </c:pt>
                <c:pt idx="59">
                  <c:v>5.3401144310235074</c:v>
                </c:pt>
                <c:pt idx="60">
                  <c:v>6.0664112388250322</c:v>
                </c:pt>
                <c:pt idx="61">
                  <c:v>6.9515306122448823</c:v>
                </c:pt>
                <c:pt idx="62">
                  <c:v>7.7946768060836389</c:v>
                </c:pt>
                <c:pt idx="63">
                  <c:v>7.044887780548617</c:v>
                </c:pt>
                <c:pt idx="64">
                  <c:v>7.0055796652200755</c:v>
                </c:pt>
                <c:pt idx="65">
                  <c:v>6.7076923076923114</c:v>
                </c:pt>
                <c:pt idx="66">
                  <c:v>6.8014705882353086</c:v>
                </c:pt>
                <c:pt idx="67">
                  <c:v>7.4142156862745239</c:v>
                </c:pt>
                <c:pt idx="68">
                  <c:v>6.7673716012084526</c:v>
                </c:pt>
                <c:pt idx="69">
                  <c:v>5.8788242351529769</c:v>
                </c:pt>
                <c:pt idx="70">
                  <c:v>5.7160048134777384</c:v>
                </c:pt>
                <c:pt idx="71">
                  <c:v>6.5178032589016377</c:v>
                </c:pt>
                <c:pt idx="72">
                  <c:v>6.6827212522576733</c:v>
                </c:pt>
                <c:pt idx="73">
                  <c:v>5.6648777579010146</c:v>
                </c:pt>
                <c:pt idx="74">
                  <c:v>4.7031158142269254</c:v>
                </c:pt>
                <c:pt idx="75">
                  <c:v>4.3098427489807838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7BD-4911-A5E9-9E4967B3E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60988287"/>
        <c:axId val="2060985407"/>
      </c:scatterChart>
      <c:valAx>
        <c:axId val="20609882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85407"/>
        <c:crosses val="autoZero"/>
        <c:crossBetween val="midCat"/>
      </c:valAx>
      <c:valAx>
        <c:axId val="2060985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098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'Question 4'!$A$75</c:f>
              <c:strCache>
                <c:ptCount val="1"/>
                <c:pt idx="0">
                  <c:v>Average MOM Inflation Range of Pre Covid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4'!$B$73:$E$74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</c:v>
                  </c:pt>
                </c:lvl>
              </c:multiLvlStrCache>
            </c:multiLvlStrRef>
          </c:cat>
          <c:val>
            <c:numRef>
              <c:f>'Question 4'!$B$75:$E$75</c:f>
              <c:numCache>
                <c:formatCode>0.0</c:formatCode>
                <c:ptCount val="4"/>
                <c:pt idx="0" formatCode="0.00">
                  <c:v>0.37663471988977282</c:v>
                </c:pt>
                <c:pt idx="1">
                  <c:v>0.16702644532548316</c:v>
                </c:pt>
                <c:pt idx="2" formatCode="0.00">
                  <c:v>0.37419457563221986</c:v>
                </c:pt>
                <c:pt idx="3">
                  <c:v>0.86676139749251602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F1-4873-8FDD-5E6A16144C1C}"/>
            </c:ext>
          </c:extLst>
        </c:ser>
        <c:ser>
          <c:idx val="2"/>
          <c:order val="2"/>
          <c:tx>
            <c:strRef>
              <c:f>'Question 4'!$A$77</c:f>
              <c:strCache>
                <c:ptCount val="1"/>
                <c:pt idx="0">
                  <c:v>Average MOM Inflation range of Post Covid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4'!$B$73:$E$74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</c:v>
                  </c:pt>
                </c:lvl>
              </c:multiLvlStrCache>
            </c:multiLvlStrRef>
          </c:cat>
          <c:val>
            <c:numRef>
              <c:f>'Question 4'!$B$77:$E$77</c:f>
              <c:numCache>
                <c:formatCode>0.0</c:formatCode>
                <c:ptCount val="4"/>
                <c:pt idx="0" formatCode="0.00">
                  <c:v>-0.37941913250555215</c:v>
                </c:pt>
                <c:pt idx="1">
                  <c:v>0.24825589730166761</c:v>
                </c:pt>
                <c:pt idx="2" formatCode="0.00">
                  <c:v>0.44159407168771592</c:v>
                </c:pt>
                <c:pt idx="3">
                  <c:v>1.2714131572742504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7F1-4873-8FDD-5E6A16144C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108768"/>
        <c:axId val="3411452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'Question 4'!$A$76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4'!$B$73:$E$74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Rural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4'!$B$76:$E$76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57F1-4873-8FDD-5E6A16144C1C}"/>
                  </c:ext>
                </c:extLst>
              </c15:ser>
            </c15:filteredBarSeries>
          </c:ext>
        </c:extLst>
      </c:barChart>
      <c:catAx>
        <c:axId val="3410876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14528"/>
        <c:crosses val="autoZero"/>
        <c:auto val="1"/>
        <c:lblAlgn val="ctr"/>
        <c:lblOffset val="100"/>
        <c:noMultiLvlLbl val="0"/>
      </c:catAx>
      <c:valAx>
        <c:axId val="34114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087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4'!$G$73:$J$74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Urban</c:v>
                  </c:pt>
                </c:lvl>
              </c:multiLvlStrCache>
            </c:multiLvlStrRef>
          </c:cat>
          <c:val>
            <c:numRef>
              <c:f>'Question 4'!$G$75:$J$75</c:f>
              <c:numCache>
                <c:formatCode>0.00</c:formatCode>
                <c:ptCount val="4"/>
                <c:pt idx="0">
                  <c:v>0.47746784887153843</c:v>
                </c:pt>
                <c:pt idx="1">
                  <c:v>0.17332446774644319</c:v>
                </c:pt>
                <c:pt idx="2">
                  <c:v>0.38056844080531088</c:v>
                </c:pt>
                <c:pt idx="3" formatCode="0.0">
                  <c:v>0.82288546930595197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05F-495D-8196-8A64B84B3772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4'!$G$73:$J$74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Urban</c:v>
                  </c:pt>
                </c:lvl>
              </c:multiLvlStrCache>
            </c:multiLvlStrRef>
          </c:cat>
          <c:val>
            <c:numRef>
              <c:f>'Question 4'!$G$77:$J$77</c:f>
              <c:numCache>
                <c:formatCode>0.00</c:formatCode>
                <c:ptCount val="4"/>
                <c:pt idx="0">
                  <c:v>-0.23156106515904568</c:v>
                </c:pt>
                <c:pt idx="1">
                  <c:v>0.25810932463842839</c:v>
                </c:pt>
                <c:pt idx="2">
                  <c:v>0.52654184315851116</c:v>
                </c:pt>
                <c:pt idx="3" formatCode="0.0">
                  <c:v>1.1594435018076883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05F-495D-8196-8A64B84B37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4137088"/>
        <c:axId val="341404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4'!$G$73:$J$74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Urban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4'!$G$76:$J$76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005F-495D-8196-8A64B84B3772}"/>
                  </c:ext>
                </c:extLst>
              </c15:ser>
            </c15:filteredBarSeries>
          </c:ext>
        </c:extLst>
      </c:barChart>
      <c:catAx>
        <c:axId val="34137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40448"/>
        <c:crosses val="autoZero"/>
        <c:auto val="1"/>
        <c:lblAlgn val="ctr"/>
        <c:lblOffset val="100"/>
        <c:noMultiLvlLbl val="0"/>
      </c:catAx>
      <c:valAx>
        <c:axId val="34140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137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4'!$L$73:$O$74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 +Urban</c:v>
                  </c:pt>
                </c:lvl>
              </c:multiLvlStrCache>
            </c:multiLvlStrRef>
          </c:cat>
          <c:val>
            <c:numRef>
              <c:f>'Question 4'!$L$75:$O$75</c:f>
              <c:numCache>
                <c:formatCode>0.00</c:formatCode>
                <c:ptCount val="4"/>
                <c:pt idx="0">
                  <c:v>0.56465817501264248</c:v>
                </c:pt>
                <c:pt idx="1">
                  <c:v>0.17087435571728532</c:v>
                </c:pt>
                <c:pt idx="2">
                  <c:v>0.37535388925335661</c:v>
                </c:pt>
                <c:pt idx="3" formatCode="0.0">
                  <c:v>0.76220138423414863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38-4F7F-ADEB-662F7E1F97BC}"/>
            </c:ext>
          </c:extLst>
        </c:ser>
        <c:ser>
          <c:idx val="2"/>
          <c:order val="2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multiLvlStrRef>
              <c:f>'Question 4'!$L$73:$O$74</c:f>
              <c:multiLvlStrCache>
                <c:ptCount val="4"/>
                <c:lvl>
                  <c:pt idx="0">
                    <c:v>Fuel</c:v>
                  </c:pt>
                  <c:pt idx="1">
                    <c:v>Household </c:v>
                  </c:pt>
                  <c:pt idx="2">
                    <c:v>Health</c:v>
                  </c:pt>
                  <c:pt idx="3">
                    <c:v>Food</c:v>
                  </c:pt>
                </c:lvl>
                <c:lvl>
                  <c:pt idx="0">
                    <c:v>Rural +Urban</c:v>
                  </c:pt>
                </c:lvl>
              </c:multiLvlStrCache>
            </c:multiLvlStrRef>
          </c:cat>
          <c:val>
            <c:numRef>
              <c:f>'Question 4'!$L$77:$O$77</c:f>
              <c:numCache>
                <c:formatCode>0.00</c:formatCode>
                <c:ptCount val="4"/>
                <c:pt idx="0">
                  <c:v>-8.2065176453581259E-2</c:v>
                </c:pt>
                <c:pt idx="1">
                  <c:v>0.28287778673933028</c:v>
                </c:pt>
                <c:pt idx="2">
                  <c:v>0.56004890642077343</c:v>
                </c:pt>
                <c:pt idx="3" formatCode="0.0">
                  <c:v>1.0261388258655251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B38-4F7F-ADEB-662F7E1F97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452429120"/>
        <c:axId val="45242864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spPr>
                  <a:gradFill rotWithShape="1">
                    <a:gsLst>
                      <a:gs pos="0">
                        <a:schemeClr val="accent2">
                          <a:satMod val="103000"/>
                          <a:lumMod val="102000"/>
                          <a:tint val="94000"/>
                        </a:schemeClr>
                      </a:gs>
                      <a:gs pos="50000">
                        <a:schemeClr val="accent2">
                          <a:satMod val="110000"/>
                          <a:lumMod val="100000"/>
                          <a:shade val="100000"/>
                        </a:schemeClr>
                      </a:gs>
                      <a:gs pos="100000">
                        <a:schemeClr val="accent2">
                          <a:lumMod val="99000"/>
                          <a:satMod val="120000"/>
                          <a:shade val="78000"/>
                        </a:schemeClr>
                      </a:gs>
                    </a:gsLst>
                    <a:lin ang="5400000" scaled="0"/>
                  </a:gradFill>
                  <a:ln>
                    <a:noFill/>
                  </a:ln>
                  <a:effectLst>
                    <a:outerShdw blurRad="57150" dist="19050" dir="5400000" algn="ctr" rotWithShape="0">
                      <a:srgbClr val="000000">
                        <a:alpha val="63000"/>
                      </a:srgbClr>
                    </a:outerShdw>
                  </a:effectLst>
                </c:spPr>
                <c:invertIfNegative val="0"/>
                <c:cat>
                  <c:multiLvlStrRef>
                    <c:extLst>
                      <c:ext uri="{02D57815-91ED-43cb-92C2-25804820EDAC}">
                        <c15:formulaRef>
                          <c15:sqref>'Question 4'!$L$73:$O$74</c15:sqref>
                        </c15:formulaRef>
                      </c:ext>
                    </c:extLst>
                    <c:multiLvlStrCache>
                      <c:ptCount val="4"/>
                      <c:lvl>
                        <c:pt idx="0">
                          <c:v>Fuel</c:v>
                        </c:pt>
                        <c:pt idx="1">
                          <c:v>Household </c:v>
                        </c:pt>
                        <c:pt idx="2">
                          <c:v>Health</c:v>
                        </c:pt>
                        <c:pt idx="3">
                          <c:v>Food</c:v>
                        </c:pt>
                      </c:lvl>
                      <c:lvl>
                        <c:pt idx="0">
                          <c:v>Rural +Urban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ormulaRef>
                          <c15:sqref>'Question 4'!$L$76:$O$76</c15:sqref>
                        </c15:formulaRef>
                      </c:ext>
                    </c:extLst>
                    <c:numCache>
                      <c:formatCode>General</c:formatCode>
                      <c:ptCount val="4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2B38-4F7F-ADEB-662F7E1F97BC}"/>
                  </c:ext>
                </c:extLst>
              </c15:ser>
            </c15:filteredBarSeries>
          </c:ext>
        </c:extLst>
      </c:barChart>
      <c:catAx>
        <c:axId val="452429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28640"/>
        <c:crosses val="autoZero"/>
        <c:auto val="1"/>
        <c:lblAlgn val="ctr"/>
        <c:lblOffset val="100"/>
        <c:noMultiLvlLbl val="0"/>
      </c:catAx>
      <c:valAx>
        <c:axId val="452428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429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MOM Inflation 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600" b="1" i="0" u="none" strike="noStrike" spc="100" baseline="0">
              <a:solidFill>
                <a:sysClr val="window" lastClr="FFFFFF">
                  <a:lumMod val="95000"/>
                </a:sys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Calibri" panose="020F0502020204030204"/>
            </a:rPr>
            <a:t>MOM Inflation </a:t>
          </a:r>
        </a:p>
      </cx:txPr>
    </cx:title>
    <cx:plotArea>
      <cx:plotAreaRegion>
        <cx:series layoutId="waterfall" uniqueId="{0B78BE66-D6BB-4036-8447-504AD73D3980}">
          <cx:dataLabels pos="inEnd">
            <cx:visibility seriesName="0" categoryName="0" value="1"/>
          </cx:dataLabels>
          <cx:dataId val="0"/>
          <cx:layoutPr>
            <cx:subtotals/>
          </cx:layoutPr>
        </cx:series>
      </cx:plotAreaRegion>
      <cx:axis id="0">
        <cx:catScaling gapWidth="0.5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7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72">
  <cs:axisTitle>
    <cs:lnRef idx="0"/>
    <cs:fillRef idx="0"/>
    <cs:effectRef idx="0"/>
    <cs:fontRef idx="minor">
      <a:schemeClr val="lt1">
        <a:lumMod val="95000"/>
      </a:schemeClr>
    </cs:fontRef>
    <cs:defRPr sz="900"/>
  </cs:axisTitle>
  <cs:category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/>
  </cs:chartArea>
  <cs:dataLabel>
    <cs:lnRef idx="0"/>
    <cs:fillRef idx="0"/>
    <cs:effectRef idx="0"/>
    <cs:fontRef idx="minor">
      <a:schemeClr val="lt1">
        <a:lumMod val="9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lt1"/>
    </cs:fontRef>
    <cs:spPr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  <a:ln>
        <a:solidFill>
          <a:schemeClr val="tx1"/>
        </a:solidFill>
      </a:ln>
    </cs:spPr>
  </cs:dataPoint>
  <cs:dataPoint3D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</cs:spPr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lt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lt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9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10000"/>
            <a:lumOff val="1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95000"/>
      </a:schemeClr>
    </cs:fontRef>
    <cs:defRPr sz="9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9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lt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spc="10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lt1">
        <a:lumMod val="95000"/>
      </a:schemeClr>
    </cs:fontRef>
    <cs:defRPr sz="9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95000"/>
      </a:schemeClr>
    </cs:fontRef>
    <cs:defRPr sz="900"/>
  </cs:valueAxis>
  <cs:wall>
    <cs:lnRef idx="0"/>
    <cs:fillRef idx="0"/>
    <cs:effectRef idx="0"/>
    <cs:fontRef idx="minor">
      <a:schemeClr val="lt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3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203200</xdr:colOff>
      <xdr:row>13</xdr:row>
      <xdr:rowOff>155575</xdr:rowOff>
    </xdr:from>
    <xdr:to>
      <xdr:col>9</xdr:col>
      <xdr:colOff>577850</xdr:colOff>
      <xdr:row>22</xdr:row>
      <xdr:rowOff>320675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487C785-8424-B801-7463-BA23730997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479425</xdr:colOff>
      <xdr:row>13</xdr:row>
      <xdr:rowOff>180975</xdr:rowOff>
    </xdr:from>
    <xdr:to>
      <xdr:col>16</xdr:col>
      <xdr:colOff>273050</xdr:colOff>
      <xdr:row>22</xdr:row>
      <xdr:rowOff>346075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D0FB7459-3B3A-A23D-9FA4-68673FDA0E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231775</xdr:colOff>
      <xdr:row>27</xdr:row>
      <xdr:rowOff>168275</xdr:rowOff>
    </xdr:from>
    <xdr:to>
      <xdr:col>10</xdr:col>
      <xdr:colOff>0</xdr:colOff>
      <xdr:row>39</xdr:row>
      <xdr:rowOff>149225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AA4E0EB-2D61-9B66-020E-2301478D4F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22225</xdr:colOff>
      <xdr:row>147</xdr:row>
      <xdr:rowOff>34925</xdr:rowOff>
    </xdr:from>
    <xdr:to>
      <xdr:col>15</xdr:col>
      <xdr:colOff>327025</xdr:colOff>
      <xdr:row>171</xdr:row>
      <xdr:rowOff>85725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C53D7C8E-720D-6213-35B3-3B64945CD5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85724</xdr:colOff>
      <xdr:row>6</xdr:row>
      <xdr:rowOff>330200</xdr:rowOff>
    </xdr:from>
    <xdr:to>
      <xdr:col>18</xdr:col>
      <xdr:colOff>260349</xdr:colOff>
      <xdr:row>33</xdr:row>
      <xdr:rowOff>44450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30C20619-CFF5-6740-17F6-9C9337EEB5F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841874" y="857250"/>
              <a:ext cx="6270625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1279525</xdr:colOff>
      <xdr:row>78</xdr:row>
      <xdr:rowOff>12700</xdr:rowOff>
    </xdr:from>
    <xdr:to>
      <xdr:col>5</xdr:col>
      <xdr:colOff>44450</xdr:colOff>
      <xdr:row>92</xdr:row>
      <xdr:rowOff>171450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3A33622-1EA2-6DCD-AF5A-7B964FAD17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22225</xdr:colOff>
      <xdr:row>78</xdr:row>
      <xdr:rowOff>12700</xdr:rowOff>
    </xdr:from>
    <xdr:to>
      <xdr:col>10</xdr:col>
      <xdr:colOff>6350</xdr:colOff>
      <xdr:row>92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C4D1D7CD-83FA-A06D-FC08-A3CB0BF4648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9525</xdr:colOff>
      <xdr:row>78</xdr:row>
      <xdr:rowOff>6350</xdr:rowOff>
    </xdr:from>
    <xdr:to>
      <xdr:col>15</xdr:col>
      <xdr:colOff>6350</xdr:colOff>
      <xdr:row>92</xdr:row>
      <xdr:rowOff>171450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DCDC037C-F206-E955-F57C-0EFF4822291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A247A7-C924-4042-B3E8-5C5B70E43724}">
  <dimension ref="A1:AD373"/>
  <sheetViews>
    <sheetView workbookViewId="0">
      <selection activeCell="V1" sqref="V1:V1048576"/>
    </sheetView>
  </sheetViews>
  <sheetFormatPr defaultRowHeight="14.5" x14ac:dyDescent="0.35"/>
  <sheetData>
    <row r="1" spans="1:30" ht="64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ht="15" thickBot="1" x14ac:dyDescent="0.4">
      <c r="A2" s="1" t="s">
        <v>30</v>
      </c>
      <c r="B2" s="2">
        <v>2013</v>
      </c>
      <c r="C2" s="1" t="s">
        <v>31</v>
      </c>
      <c r="D2" s="2">
        <v>107.5</v>
      </c>
      <c r="E2" s="2">
        <v>106.3</v>
      </c>
      <c r="F2" s="2">
        <v>108.1</v>
      </c>
      <c r="G2" s="2">
        <v>104.9</v>
      </c>
      <c r="H2" s="2">
        <v>106.1</v>
      </c>
      <c r="I2" s="2">
        <v>103.9</v>
      </c>
      <c r="J2" s="2">
        <v>101.9</v>
      </c>
      <c r="K2" s="2">
        <v>106.1</v>
      </c>
      <c r="L2" s="2">
        <v>106.8</v>
      </c>
      <c r="M2" s="2">
        <v>103.1</v>
      </c>
      <c r="N2" s="2">
        <v>104.8</v>
      </c>
      <c r="O2" s="2">
        <v>106.7</v>
      </c>
      <c r="P2" s="2">
        <v>105.5</v>
      </c>
      <c r="Q2" s="2">
        <v>105.1</v>
      </c>
      <c r="R2" s="2">
        <v>106.5</v>
      </c>
      <c r="S2" s="2">
        <v>105.8</v>
      </c>
      <c r="T2" s="2">
        <v>106.4</v>
      </c>
      <c r="U2" s="1" t="s">
        <v>32</v>
      </c>
      <c r="V2" s="2">
        <v>105.5</v>
      </c>
      <c r="W2" s="2">
        <v>104.8</v>
      </c>
      <c r="X2" s="2">
        <v>104</v>
      </c>
      <c r="Y2" s="2">
        <v>103.3</v>
      </c>
      <c r="Z2" s="2">
        <v>103.4</v>
      </c>
      <c r="AA2" s="2">
        <v>103.8</v>
      </c>
      <c r="AB2" s="2">
        <v>104.7</v>
      </c>
      <c r="AC2" s="2">
        <v>104</v>
      </c>
      <c r="AD2" s="2">
        <v>105.1</v>
      </c>
    </row>
    <row r="3" spans="1:30" ht="15" thickBot="1" x14ac:dyDescent="0.4">
      <c r="A3" s="1" t="s">
        <v>33</v>
      </c>
      <c r="B3" s="2">
        <v>2013</v>
      </c>
      <c r="C3" s="1" t="s">
        <v>31</v>
      </c>
      <c r="D3" s="2">
        <v>110.5</v>
      </c>
      <c r="E3" s="2">
        <v>109.1</v>
      </c>
      <c r="F3" s="2">
        <v>113</v>
      </c>
      <c r="G3" s="2">
        <v>103.6</v>
      </c>
      <c r="H3" s="2">
        <v>103.4</v>
      </c>
      <c r="I3" s="2">
        <v>102.3</v>
      </c>
      <c r="J3" s="2">
        <v>102.9</v>
      </c>
      <c r="K3" s="2">
        <v>105.8</v>
      </c>
      <c r="L3" s="2">
        <v>105.1</v>
      </c>
      <c r="M3" s="2">
        <v>101.8</v>
      </c>
      <c r="N3" s="2">
        <v>105.1</v>
      </c>
      <c r="O3" s="2">
        <v>107.9</v>
      </c>
      <c r="P3" s="2">
        <v>105.9</v>
      </c>
      <c r="Q3" s="2">
        <v>105.2</v>
      </c>
      <c r="R3" s="2">
        <v>105.9</v>
      </c>
      <c r="S3" s="2">
        <v>105</v>
      </c>
      <c r="T3" s="2">
        <v>105.8</v>
      </c>
      <c r="U3" s="2">
        <v>100.3</v>
      </c>
      <c r="V3" s="2">
        <v>105.4</v>
      </c>
      <c r="W3" s="2">
        <v>104.8</v>
      </c>
      <c r="X3" s="2">
        <v>104.1</v>
      </c>
      <c r="Y3" s="2">
        <v>103.2</v>
      </c>
      <c r="Z3" s="2">
        <v>102.9</v>
      </c>
      <c r="AA3" s="2">
        <v>103.5</v>
      </c>
      <c r="AB3" s="2">
        <v>104.3</v>
      </c>
      <c r="AC3" s="2">
        <v>103.7</v>
      </c>
      <c r="AD3" s="2">
        <v>104</v>
      </c>
    </row>
    <row r="4" spans="1:30" ht="26.5" thickBot="1" x14ac:dyDescent="0.4">
      <c r="A4" s="1" t="s">
        <v>34</v>
      </c>
      <c r="B4" s="2">
        <v>2013</v>
      </c>
      <c r="C4" s="1" t="s">
        <v>31</v>
      </c>
      <c r="D4" s="2">
        <v>108.4</v>
      </c>
      <c r="E4" s="2">
        <v>107.3</v>
      </c>
      <c r="F4" s="2">
        <v>110</v>
      </c>
      <c r="G4" s="2">
        <v>104.4</v>
      </c>
      <c r="H4" s="2">
        <v>105.1</v>
      </c>
      <c r="I4" s="2">
        <v>103.2</v>
      </c>
      <c r="J4" s="2">
        <v>102.2</v>
      </c>
      <c r="K4" s="2">
        <v>106</v>
      </c>
      <c r="L4" s="2">
        <v>106.2</v>
      </c>
      <c r="M4" s="2">
        <v>102.7</v>
      </c>
      <c r="N4" s="2">
        <v>104.9</v>
      </c>
      <c r="O4" s="2">
        <v>107.3</v>
      </c>
      <c r="P4" s="2">
        <v>105.6</v>
      </c>
      <c r="Q4" s="2">
        <v>105.1</v>
      </c>
      <c r="R4" s="2">
        <v>106.3</v>
      </c>
      <c r="S4" s="2">
        <v>105.5</v>
      </c>
      <c r="T4" s="2">
        <v>106.2</v>
      </c>
      <c r="U4" s="2">
        <v>100.3</v>
      </c>
      <c r="V4" s="2">
        <v>105.5</v>
      </c>
      <c r="W4" s="2">
        <v>104.8</v>
      </c>
      <c r="X4" s="2">
        <v>104</v>
      </c>
      <c r="Y4" s="2">
        <v>103.2</v>
      </c>
      <c r="Z4" s="2">
        <v>103.1</v>
      </c>
      <c r="AA4" s="2">
        <v>103.6</v>
      </c>
      <c r="AB4" s="2">
        <v>104.5</v>
      </c>
      <c r="AC4" s="2">
        <v>103.9</v>
      </c>
      <c r="AD4" s="2">
        <v>104.6</v>
      </c>
    </row>
    <row r="5" spans="1:30" ht="15" thickBot="1" x14ac:dyDescent="0.4">
      <c r="A5" s="1" t="s">
        <v>30</v>
      </c>
      <c r="B5" s="2">
        <v>2013</v>
      </c>
      <c r="C5" s="1" t="s">
        <v>35</v>
      </c>
      <c r="D5" s="2">
        <v>109.2</v>
      </c>
      <c r="E5" s="2">
        <v>108.7</v>
      </c>
      <c r="F5" s="2">
        <v>110.2</v>
      </c>
      <c r="G5" s="2">
        <v>105.4</v>
      </c>
      <c r="H5" s="2">
        <v>106.7</v>
      </c>
      <c r="I5" s="2">
        <v>104</v>
      </c>
      <c r="J5" s="2">
        <v>102.4</v>
      </c>
      <c r="K5" s="2">
        <v>105.9</v>
      </c>
      <c r="L5" s="2">
        <v>105.7</v>
      </c>
      <c r="M5" s="2">
        <v>103.1</v>
      </c>
      <c r="N5" s="2">
        <v>105.1</v>
      </c>
      <c r="O5" s="2">
        <v>107.7</v>
      </c>
      <c r="P5" s="2">
        <v>106.3</v>
      </c>
      <c r="Q5" s="2">
        <v>105.6</v>
      </c>
      <c r="R5" s="2">
        <v>107.1</v>
      </c>
      <c r="S5" s="2">
        <v>106.3</v>
      </c>
      <c r="T5" s="2">
        <v>107</v>
      </c>
      <c r="U5" s="1" t="s">
        <v>32</v>
      </c>
      <c r="V5" s="2">
        <v>106.2</v>
      </c>
      <c r="W5" s="2">
        <v>105.2</v>
      </c>
      <c r="X5" s="2">
        <v>104.4</v>
      </c>
      <c r="Y5" s="2">
        <v>103.9</v>
      </c>
      <c r="Z5" s="2">
        <v>104</v>
      </c>
      <c r="AA5" s="2">
        <v>104.1</v>
      </c>
      <c r="AB5" s="2">
        <v>104.6</v>
      </c>
      <c r="AC5" s="2">
        <v>104.4</v>
      </c>
      <c r="AD5" s="2">
        <v>105.8</v>
      </c>
    </row>
    <row r="6" spans="1:30" ht="15" thickBot="1" x14ac:dyDescent="0.4">
      <c r="A6" s="1" t="s">
        <v>33</v>
      </c>
      <c r="B6" s="2">
        <v>2013</v>
      </c>
      <c r="C6" s="1" t="s">
        <v>35</v>
      </c>
      <c r="D6" s="2">
        <v>112.9</v>
      </c>
      <c r="E6" s="2">
        <v>112.9</v>
      </c>
      <c r="F6" s="2">
        <v>116.9</v>
      </c>
      <c r="G6" s="2">
        <v>104</v>
      </c>
      <c r="H6" s="2">
        <v>103.5</v>
      </c>
      <c r="I6" s="2">
        <v>103.1</v>
      </c>
      <c r="J6" s="2">
        <v>104.9</v>
      </c>
      <c r="K6" s="2">
        <v>104.1</v>
      </c>
      <c r="L6" s="2">
        <v>103.8</v>
      </c>
      <c r="M6" s="2">
        <v>102.3</v>
      </c>
      <c r="N6" s="2">
        <v>106</v>
      </c>
      <c r="O6" s="2">
        <v>109</v>
      </c>
      <c r="P6" s="2">
        <v>107.2</v>
      </c>
      <c r="Q6" s="2">
        <v>106</v>
      </c>
      <c r="R6" s="2">
        <v>106.6</v>
      </c>
      <c r="S6" s="2">
        <v>105.5</v>
      </c>
      <c r="T6" s="2">
        <v>106.4</v>
      </c>
      <c r="U6" s="2">
        <v>100.4</v>
      </c>
      <c r="V6" s="2">
        <v>105.7</v>
      </c>
      <c r="W6" s="2">
        <v>105.2</v>
      </c>
      <c r="X6" s="2">
        <v>104.7</v>
      </c>
      <c r="Y6" s="2">
        <v>104.4</v>
      </c>
      <c r="Z6" s="2">
        <v>103.3</v>
      </c>
      <c r="AA6" s="2">
        <v>103.7</v>
      </c>
      <c r="AB6" s="2">
        <v>104.3</v>
      </c>
      <c r="AC6" s="2">
        <v>104.3</v>
      </c>
      <c r="AD6" s="2">
        <v>104.7</v>
      </c>
    </row>
    <row r="7" spans="1:30" ht="26.5" thickBot="1" x14ac:dyDescent="0.4">
      <c r="A7" s="1" t="s">
        <v>34</v>
      </c>
      <c r="B7" s="2">
        <v>2013</v>
      </c>
      <c r="C7" s="1" t="s">
        <v>35</v>
      </c>
      <c r="D7" s="2">
        <v>110.4</v>
      </c>
      <c r="E7" s="2">
        <v>110.2</v>
      </c>
      <c r="F7" s="2">
        <v>112.8</v>
      </c>
      <c r="G7" s="2">
        <v>104.9</v>
      </c>
      <c r="H7" s="2">
        <v>105.5</v>
      </c>
      <c r="I7" s="2">
        <v>103.6</v>
      </c>
      <c r="J7" s="2">
        <v>103.2</v>
      </c>
      <c r="K7" s="2">
        <v>105.3</v>
      </c>
      <c r="L7" s="2">
        <v>105.1</v>
      </c>
      <c r="M7" s="2">
        <v>102.8</v>
      </c>
      <c r="N7" s="2">
        <v>105.5</v>
      </c>
      <c r="O7" s="2">
        <v>108.3</v>
      </c>
      <c r="P7" s="2">
        <v>106.6</v>
      </c>
      <c r="Q7" s="2">
        <v>105.7</v>
      </c>
      <c r="R7" s="2">
        <v>106.9</v>
      </c>
      <c r="S7" s="2">
        <v>106</v>
      </c>
      <c r="T7" s="2">
        <v>106.8</v>
      </c>
      <c r="U7" s="2">
        <v>100.4</v>
      </c>
      <c r="V7" s="2">
        <v>106</v>
      </c>
      <c r="W7" s="2">
        <v>105.2</v>
      </c>
      <c r="X7" s="2">
        <v>104.5</v>
      </c>
      <c r="Y7" s="2">
        <v>104.2</v>
      </c>
      <c r="Z7" s="2">
        <v>103.6</v>
      </c>
      <c r="AA7" s="2">
        <v>103.9</v>
      </c>
      <c r="AB7" s="2">
        <v>104.5</v>
      </c>
      <c r="AC7" s="2">
        <v>104.4</v>
      </c>
      <c r="AD7" s="2">
        <v>105.3</v>
      </c>
    </row>
    <row r="8" spans="1:30" ht="15" thickBot="1" x14ac:dyDescent="0.4">
      <c r="A8" s="1" t="s">
        <v>30</v>
      </c>
      <c r="B8" s="2">
        <v>2013</v>
      </c>
      <c r="C8" s="1" t="s">
        <v>36</v>
      </c>
      <c r="D8" s="2">
        <v>110.2</v>
      </c>
      <c r="E8" s="2">
        <v>108.8</v>
      </c>
      <c r="F8" s="2">
        <v>109.9</v>
      </c>
      <c r="G8" s="2">
        <v>105.6</v>
      </c>
      <c r="H8" s="2">
        <v>106.2</v>
      </c>
      <c r="I8" s="2">
        <v>105.7</v>
      </c>
      <c r="J8" s="2">
        <v>101.4</v>
      </c>
      <c r="K8" s="2">
        <v>105.7</v>
      </c>
      <c r="L8" s="2">
        <v>105</v>
      </c>
      <c r="M8" s="2">
        <v>103.3</v>
      </c>
      <c r="N8" s="2">
        <v>105.6</v>
      </c>
      <c r="O8" s="2">
        <v>108.2</v>
      </c>
      <c r="P8" s="2">
        <v>106.6</v>
      </c>
      <c r="Q8" s="2">
        <v>106.5</v>
      </c>
      <c r="R8" s="2">
        <v>107.6</v>
      </c>
      <c r="S8" s="2">
        <v>106.8</v>
      </c>
      <c r="T8" s="2">
        <v>107.5</v>
      </c>
      <c r="U8" s="1" t="s">
        <v>32</v>
      </c>
      <c r="V8" s="2">
        <v>106.1</v>
      </c>
      <c r="W8" s="2">
        <v>105.6</v>
      </c>
      <c r="X8" s="2">
        <v>104.7</v>
      </c>
      <c r="Y8" s="2">
        <v>104.6</v>
      </c>
      <c r="Z8" s="2">
        <v>104</v>
      </c>
      <c r="AA8" s="2">
        <v>104.3</v>
      </c>
      <c r="AB8" s="2">
        <v>104.3</v>
      </c>
      <c r="AC8" s="2">
        <v>104.6</v>
      </c>
      <c r="AD8" s="2">
        <v>106</v>
      </c>
    </row>
    <row r="9" spans="1:30" ht="15" thickBot="1" x14ac:dyDescent="0.4">
      <c r="A9" s="1" t="s">
        <v>33</v>
      </c>
      <c r="B9" s="2">
        <v>2013</v>
      </c>
      <c r="C9" s="1" t="s">
        <v>36</v>
      </c>
      <c r="D9" s="2">
        <v>113.9</v>
      </c>
      <c r="E9" s="2">
        <v>111.4</v>
      </c>
      <c r="F9" s="2">
        <v>113.2</v>
      </c>
      <c r="G9" s="2">
        <v>104.3</v>
      </c>
      <c r="H9" s="2">
        <v>102.7</v>
      </c>
      <c r="I9" s="2">
        <v>104.9</v>
      </c>
      <c r="J9" s="2">
        <v>103.8</v>
      </c>
      <c r="K9" s="2">
        <v>103.5</v>
      </c>
      <c r="L9" s="2">
        <v>102.6</v>
      </c>
      <c r="M9" s="2">
        <v>102.4</v>
      </c>
      <c r="N9" s="2">
        <v>107</v>
      </c>
      <c r="O9" s="2">
        <v>109.8</v>
      </c>
      <c r="P9" s="2">
        <v>107.3</v>
      </c>
      <c r="Q9" s="2">
        <v>106.8</v>
      </c>
      <c r="R9" s="2">
        <v>107.2</v>
      </c>
      <c r="S9" s="2">
        <v>106</v>
      </c>
      <c r="T9" s="2">
        <v>107</v>
      </c>
      <c r="U9" s="2">
        <v>100.4</v>
      </c>
      <c r="V9" s="2">
        <v>106</v>
      </c>
      <c r="W9" s="2">
        <v>105.7</v>
      </c>
      <c r="X9" s="2">
        <v>105.2</v>
      </c>
      <c r="Y9" s="2">
        <v>105.5</v>
      </c>
      <c r="Z9" s="2">
        <v>103.5</v>
      </c>
      <c r="AA9" s="2">
        <v>103.8</v>
      </c>
      <c r="AB9" s="2">
        <v>104.2</v>
      </c>
      <c r="AC9" s="2">
        <v>104.9</v>
      </c>
      <c r="AD9" s="2">
        <v>105</v>
      </c>
    </row>
    <row r="10" spans="1:30" ht="26.5" thickBot="1" x14ac:dyDescent="0.4">
      <c r="A10" s="1" t="s">
        <v>34</v>
      </c>
      <c r="B10" s="2">
        <v>2013</v>
      </c>
      <c r="C10" s="1" t="s">
        <v>36</v>
      </c>
      <c r="D10" s="2">
        <v>111.4</v>
      </c>
      <c r="E10" s="2">
        <v>109.7</v>
      </c>
      <c r="F10" s="2">
        <v>111.2</v>
      </c>
      <c r="G10" s="2">
        <v>105.1</v>
      </c>
      <c r="H10" s="2">
        <v>104.9</v>
      </c>
      <c r="I10" s="2">
        <v>105.3</v>
      </c>
      <c r="J10" s="2">
        <v>102.2</v>
      </c>
      <c r="K10" s="2">
        <v>105</v>
      </c>
      <c r="L10" s="2">
        <v>104.2</v>
      </c>
      <c r="M10" s="2">
        <v>103</v>
      </c>
      <c r="N10" s="2">
        <v>106.2</v>
      </c>
      <c r="O10" s="2">
        <v>108.9</v>
      </c>
      <c r="P10" s="2">
        <v>106.9</v>
      </c>
      <c r="Q10" s="2">
        <v>106.6</v>
      </c>
      <c r="R10" s="2">
        <v>107.4</v>
      </c>
      <c r="S10" s="2">
        <v>106.5</v>
      </c>
      <c r="T10" s="2">
        <v>107.3</v>
      </c>
      <c r="U10" s="2">
        <v>100.4</v>
      </c>
      <c r="V10" s="2">
        <v>106.1</v>
      </c>
      <c r="W10" s="2">
        <v>105.6</v>
      </c>
      <c r="X10" s="2">
        <v>104.9</v>
      </c>
      <c r="Y10" s="2">
        <v>105.1</v>
      </c>
      <c r="Z10" s="2">
        <v>103.7</v>
      </c>
      <c r="AA10" s="2">
        <v>104</v>
      </c>
      <c r="AB10" s="2">
        <v>104.3</v>
      </c>
      <c r="AC10" s="2">
        <v>104.7</v>
      </c>
      <c r="AD10" s="2">
        <v>105.5</v>
      </c>
    </row>
    <row r="11" spans="1:30" ht="15" thickBot="1" x14ac:dyDescent="0.4">
      <c r="A11" s="1" t="s">
        <v>30</v>
      </c>
      <c r="B11" s="2">
        <v>2013</v>
      </c>
      <c r="C11" s="1" t="s">
        <v>37</v>
      </c>
      <c r="D11" s="2">
        <v>110.2</v>
      </c>
      <c r="E11" s="2">
        <v>109.5</v>
      </c>
      <c r="F11" s="2">
        <v>106.9</v>
      </c>
      <c r="G11" s="2">
        <v>106.3</v>
      </c>
      <c r="H11" s="2">
        <v>105.7</v>
      </c>
      <c r="I11" s="2">
        <v>108.3</v>
      </c>
      <c r="J11" s="2">
        <v>103.4</v>
      </c>
      <c r="K11" s="2">
        <v>105.7</v>
      </c>
      <c r="L11" s="2">
        <v>104.2</v>
      </c>
      <c r="M11" s="2">
        <v>103.2</v>
      </c>
      <c r="N11" s="2">
        <v>106.5</v>
      </c>
      <c r="O11" s="2">
        <v>108.8</v>
      </c>
      <c r="P11" s="2">
        <v>107.1</v>
      </c>
      <c r="Q11" s="2">
        <v>107.1</v>
      </c>
      <c r="R11" s="2">
        <v>108.1</v>
      </c>
      <c r="S11" s="2">
        <v>107.4</v>
      </c>
      <c r="T11" s="2">
        <v>108</v>
      </c>
      <c r="U11" s="1" t="s">
        <v>32</v>
      </c>
      <c r="V11" s="2">
        <v>106.5</v>
      </c>
      <c r="W11" s="2">
        <v>106.1</v>
      </c>
      <c r="X11" s="2">
        <v>105.1</v>
      </c>
      <c r="Y11" s="2">
        <v>104.4</v>
      </c>
      <c r="Z11" s="2">
        <v>104.5</v>
      </c>
      <c r="AA11" s="2">
        <v>104.8</v>
      </c>
      <c r="AB11" s="2">
        <v>102.7</v>
      </c>
      <c r="AC11" s="2">
        <v>104.6</v>
      </c>
      <c r="AD11" s="2">
        <v>106.4</v>
      </c>
    </row>
    <row r="12" spans="1:30" ht="15" thickBot="1" x14ac:dyDescent="0.4">
      <c r="A12" s="1" t="s">
        <v>33</v>
      </c>
      <c r="B12" s="2">
        <v>2013</v>
      </c>
      <c r="C12" s="1" t="s">
        <v>37</v>
      </c>
      <c r="D12" s="2">
        <v>114.6</v>
      </c>
      <c r="E12" s="2">
        <v>113.4</v>
      </c>
      <c r="F12" s="2">
        <v>106</v>
      </c>
      <c r="G12" s="2">
        <v>104.7</v>
      </c>
      <c r="H12" s="2">
        <v>102.1</v>
      </c>
      <c r="I12" s="2">
        <v>109.5</v>
      </c>
      <c r="J12" s="2">
        <v>109.7</v>
      </c>
      <c r="K12" s="2">
        <v>104.6</v>
      </c>
      <c r="L12" s="2">
        <v>102</v>
      </c>
      <c r="M12" s="2">
        <v>103.5</v>
      </c>
      <c r="N12" s="2">
        <v>108.2</v>
      </c>
      <c r="O12" s="2">
        <v>110.6</v>
      </c>
      <c r="P12" s="2">
        <v>108.8</v>
      </c>
      <c r="Q12" s="2">
        <v>108.5</v>
      </c>
      <c r="R12" s="2">
        <v>107.9</v>
      </c>
      <c r="S12" s="2">
        <v>106.4</v>
      </c>
      <c r="T12" s="2">
        <v>107.7</v>
      </c>
      <c r="U12" s="2">
        <v>100.5</v>
      </c>
      <c r="V12" s="2">
        <v>106.4</v>
      </c>
      <c r="W12" s="2">
        <v>106.5</v>
      </c>
      <c r="X12" s="2">
        <v>105.7</v>
      </c>
      <c r="Y12" s="2">
        <v>105</v>
      </c>
      <c r="Z12" s="2">
        <v>104</v>
      </c>
      <c r="AA12" s="2">
        <v>105.2</v>
      </c>
      <c r="AB12" s="2">
        <v>103.2</v>
      </c>
      <c r="AC12" s="2">
        <v>105.1</v>
      </c>
      <c r="AD12" s="2">
        <v>105.7</v>
      </c>
    </row>
    <row r="13" spans="1:30" ht="26.5" thickBot="1" x14ac:dyDescent="0.4">
      <c r="A13" s="1" t="s">
        <v>34</v>
      </c>
      <c r="B13" s="2">
        <v>2013</v>
      </c>
      <c r="C13" s="1" t="s">
        <v>37</v>
      </c>
      <c r="D13" s="2">
        <v>111.6</v>
      </c>
      <c r="E13" s="2">
        <v>110.9</v>
      </c>
      <c r="F13" s="2">
        <v>106.6</v>
      </c>
      <c r="G13" s="2">
        <v>105.7</v>
      </c>
      <c r="H13" s="2">
        <v>104.4</v>
      </c>
      <c r="I13" s="2">
        <v>108.9</v>
      </c>
      <c r="J13" s="2">
        <v>105.5</v>
      </c>
      <c r="K13" s="2">
        <v>105.3</v>
      </c>
      <c r="L13" s="2">
        <v>103.5</v>
      </c>
      <c r="M13" s="2">
        <v>103.3</v>
      </c>
      <c r="N13" s="2">
        <v>107.2</v>
      </c>
      <c r="O13" s="2">
        <v>109.6</v>
      </c>
      <c r="P13" s="2">
        <v>107.7</v>
      </c>
      <c r="Q13" s="2">
        <v>107.5</v>
      </c>
      <c r="R13" s="2">
        <v>108</v>
      </c>
      <c r="S13" s="2">
        <v>107</v>
      </c>
      <c r="T13" s="2">
        <v>107.9</v>
      </c>
      <c r="U13" s="2">
        <v>100.5</v>
      </c>
      <c r="V13" s="2">
        <v>106.5</v>
      </c>
      <c r="W13" s="2">
        <v>106.3</v>
      </c>
      <c r="X13" s="2">
        <v>105.3</v>
      </c>
      <c r="Y13" s="2">
        <v>104.7</v>
      </c>
      <c r="Z13" s="2">
        <v>104.2</v>
      </c>
      <c r="AA13" s="2">
        <v>105</v>
      </c>
      <c r="AB13" s="2">
        <v>102.9</v>
      </c>
      <c r="AC13" s="2">
        <v>104.8</v>
      </c>
      <c r="AD13" s="2">
        <v>106.1</v>
      </c>
    </row>
    <row r="14" spans="1:30" ht="15" thickBot="1" x14ac:dyDescent="0.4">
      <c r="A14" s="1" t="s">
        <v>30</v>
      </c>
      <c r="B14" s="2">
        <v>2013</v>
      </c>
      <c r="C14" s="1" t="s">
        <v>38</v>
      </c>
      <c r="D14" s="2">
        <v>110.9</v>
      </c>
      <c r="E14" s="2">
        <v>109.8</v>
      </c>
      <c r="F14" s="2">
        <v>105.9</v>
      </c>
      <c r="G14" s="2">
        <v>107.5</v>
      </c>
      <c r="H14" s="2">
        <v>105.3</v>
      </c>
      <c r="I14" s="2">
        <v>108.1</v>
      </c>
      <c r="J14" s="2">
        <v>107.3</v>
      </c>
      <c r="K14" s="2">
        <v>106.1</v>
      </c>
      <c r="L14" s="2">
        <v>103.7</v>
      </c>
      <c r="M14" s="2">
        <v>104</v>
      </c>
      <c r="N14" s="2">
        <v>107.4</v>
      </c>
      <c r="O14" s="2">
        <v>109.9</v>
      </c>
      <c r="P14" s="2">
        <v>108.1</v>
      </c>
      <c r="Q14" s="2">
        <v>108.1</v>
      </c>
      <c r="R14" s="2">
        <v>108.8</v>
      </c>
      <c r="S14" s="2">
        <v>107.9</v>
      </c>
      <c r="T14" s="2">
        <v>108.6</v>
      </c>
      <c r="U14" s="1" t="s">
        <v>32</v>
      </c>
      <c r="V14" s="2">
        <v>107.5</v>
      </c>
      <c r="W14" s="2">
        <v>106.8</v>
      </c>
      <c r="X14" s="2">
        <v>105.7</v>
      </c>
      <c r="Y14" s="2">
        <v>104.1</v>
      </c>
      <c r="Z14" s="2">
        <v>105</v>
      </c>
      <c r="AA14" s="2">
        <v>105.5</v>
      </c>
      <c r="AB14" s="2">
        <v>102.1</v>
      </c>
      <c r="AC14" s="2">
        <v>104.8</v>
      </c>
      <c r="AD14" s="2">
        <v>107.2</v>
      </c>
    </row>
    <row r="15" spans="1:30" ht="15" thickBot="1" x14ac:dyDescent="0.4">
      <c r="A15" s="1" t="s">
        <v>33</v>
      </c>
      <c r="B15" s="2">
        <v>2013</v>
      </c>
      <c r="C15" s="1" t="s">
        <v>38</v>
      </c>
      <c r="D15" s="2">
        <v>115.4</v>
      </c>
      <c r="E15" s="2">
        <v>114.2</v>
      </c>
      <c r="F15" s="2">
        <v>102.7</v>
      </c>
      <c r="G15" s="2">
        <v>105.5</v>
      </c>
      <c r="H15" s="2">
        <v>101.5</v>
      </c>
      <c r="I15" s="2">
        <v>110.6</v>
      </c>
      <c r="J15" s="2">
        <v>123.7</v>
      </c>
      <c r="K15" s="2">
        <v>105.2</v>
      </c>
      <c r="L15" s="2">
        <v>101.9</v>
      </c>
      <c r="M15" s="2">
        <v>105</v>
      </c>
      <c r="N15" s="2">
        <v>109.1</v>
      </c>
      <c r="O15" s="2">
        <v>111.3</v>
      </c>
      <c r="P15" s="2">
        <v>111.1</v>
      </c>
      <c r="Q15" s="2">
        <v>109.8</v>
      </c>
      <c r="R15" s="2">
        <v>108.5</v>
      </c>
      <c r="S15" s="2">
        <v>106.7</v>
      </c>
      <c r="T15" s="2">
        <v>108.3</v>
      </c>
      <c r="U15" s="2">
        <v>100.5</v>
      </c>
      <c r="V15" s="2">
        <v>107.2</v>
      </c>
      <c r="W15" s="2">
        <v>107.1</v>
      </c>
      <c r="X15" s="2">
        <v>106.2</v>
      </c>
      <c r="Y15" s="2">
        <v>103.9</v>
      </c>
      <c r="Z15" s="2">
        <v>104.6</v>
      </c>
      <c r="AA15" s="2">
        <v>105.7</v>
      </c>
      <c r="AB15" s="2">
        <v>102.6</v>
      </c>
      <c r="AC15" s="2">
        <v>104.9</v>
      </c>
      <c r="AD15" s="2">
        <v>106.6</v>
      </c>
    </row>
    <row r="16" spans="1:30" ht="26.5" thickBot="1" x14ac:dyDescent="0.4">
      <c r="A16" s="1" t="s">
        <v>34</v>
      </c>
      <c r="B16" s="2">
        <v>2013</v>
      </c>
      <c r="C16" s="1" t="s">
        <v>38</v>
      </c>
      <c r="D16" s="2">
        <v>112.3</v>
      </c>
      <c r="E16" s="2">
        <v>111.3</v>
      </c>
      <c r="F16" s="2">
        <v>104.7</v>
      </c>
      <c r="G16" s="2">
        <v>106.8</v>
      </c>
      <c r="H16" s="2">
        <v>103.9</v>
      </c>
      <c r="I16" s="2">
        <v>109.3</v>
      </c>
      <c r="J16" s="2">
        <v>112.9</v>
      </c>
      <c r="K16" s="2">
        <v>105.8</v>
      </c>
      <c r="L16" s="2">
        <v>103.1</v>
      </c>
      <c r="M16" s="2">
        <v>104.3</v>
      </c>
      <c r="N16" s="2">
        <v>108.1</v>
      </c>
      <c r="O16" s="2">
        <v>110.5</v>
      </c>
      <c r="P16" s="2">
        <v>109.2</v>
      </c>
      <c r="Q16" s="2">
        <v>108.6</v>
      </c>
      <c r="R16" s="2">
        <v>108.7</v>
      </c>
      <c r="S16" s="2">
        <v>107.4</v>
      </c>
      <c r="T16" s="2">
        <v>108.5</v>
      </c>
      <c r="U16" s="2">
        <v>100.5</v>
      </c>
      <c r="V16" s="2">
        <v>107.4</v>
      </c>
      <c r="W16" s="2">
        <v>106.9</v>
      </c>
      <c r="X16" s="2">
        <v>105.9</v>
      </c>
      <c r="Y16" s="2">
        <v>104</v>
      </c>
      <c r="Z16" s="2">
        <v>104.8</v>
      </c>
      <c r="AA16" s="2">
        <v>105.6</v>
      </c>
      <c r="AB16" s="2">
        <v>102.3</v>
      </c>
      <c r="AC16" s="2">
        <v>104.8</v>
      </c>
      <c r="AD16" s="2">
        <v>106.9</v>
      </c>
    </row>
    <row r="17" spans="1:30" ht="15" thickBot="1" x14ac:dyDescent="0.4">
      <c r="A17" s="1" t="s">
        <v>30</v>
      </c>
      <c r="B17" s="2">
        <v>2013</v>
      </c>
      <c r="C17" s="1" t="s">
        <v>39</v>
      </c>
      <c r="D17" s="2">
        <v>112.3</v>
      </c>
      <c r="E17" s="2">
        <v>112.1</v>
      </c>
      <c r="F17" s="2">
        <v>108.1</v>
      </c>
      <c r="G17" s="2">
        <v>108.3</v>
      </c>
      <c r="H17" s="2">
        <v>105.9</v>
      </c>
      <c r="I17" s="2">
        <v>109.2</v>
      </c>
      <c r="J17" s="2">
        <v>118</v>
      </c>
      <c r="K17" s="2">
        <v>106.8</v>
      </c>
      <c r="L17" s="2">
        <v>104.1</v>
      </c>
      <c r="M17" s="2">
        <v>105.4</v>
      </c>
      <c r="N17" s="2">
        <v>108.2</v>
      </c>
      <c r="O17" s="2">
        <v>111</v>
      </c>
      <c r="P17" s="2">
        <v>110.6</v>
      </c>
      <c r="Q17" s="2">
        <v>109</v>
      </c>
      <c r="R17" s="2">
        <v>109.7</v>
      </c>
      <c r="S17" s="2">
        <v>108.8</v>
      </c>
      <c r="T17" s="2">
        <v>109.5</v>
      </c>
      <c r="U17" s="1" t="s">
        <v>32</v>
      </c>
      <c r="V17" s="2">
        <v>108.5</v>
      </c>
      <c r="W17" s="2">
        <v>107.5</v>
      </c>
      <c r="X17" s="2">
        <v>106.3</v>
      </c>
      <c r="Y17" s="2">
        <v>105</v>
      </c>
      <c r="Z17" s="2">
        <v>105.6</v>
      </c>
      <c r="AA17" s="2">
        <v>106.5</v>
      </c>
      <c r="AB17" s="2">
        <v>102.5</v>
      </c>
      <c r="AC17" s="2">
        <v>105.5</v>
      </c>
      <c r="AD17" s="2">
        <v>108.9</v>
      </c>
    </row>
    <row r="18" spans="1:30" ht="15" thickBot="1" x14ac:dyDescent="0.4">
      <c r="A18" s="1" t="s">
        <v>33</v>
      </c>
      <c r="B18" s="2">
        <v>2013</v>
      </c>
      <c r="C18" s="1" t="s">
        <v>39</v>
      </c>
      <c r="D18" s="2">
        <v>117</v>
      </c>
      <c r="E18" s="2">
        <v>120.1</v>
      </c>
      <c r="F18" s="2">
        <v>112.5</v>
      </c>
      <c r="G18" s="2">
        <v>107.3</v>
      </c>
      <c r="H18" s="2">
        <v>101.3</v>
      </c>
      <c r="I18" s="2">
        <v>112.4</v>
      </c>
      <c r="J18" s="2">
        <v>143.6</v>
      </c>
      <c r="K18" s="2">
        <v>105.4</v>
      </c>
      <c r="L18" s="2">
        <v>101.4</v>
      </c>
      <c r="M18" s="2">
        <v>106.4</v>
      </c>
      <c r="N18" s="2">
        <v>110</v>
      </c>
      <c r="O18" s="2">
        <v>112.2</v>
      </c>
      <c r="P18" s="2">
        <v>115</v>
      </c>
      <c r="Q18" s="2">
        <v>110.9</v>
      </c>
      <c r="R18" s="2">
        <v>109.2</v>
      </c>
      <c r="S18" s="2">
        <v>107.2</v>
      </c>
      <c r="T18" s="2">
        <v>108.9</v>
      </c>
      <c r="U18" s="2">
        <v>106.6</v>
      </c>
      <c r="V18" s="2">
        <v>108</v>
      </c>
      <c r="W18" s="2">
        <v>107.7</v>
      </c>
      <c r="X18" s="2">
        <v>106.5</v>
      </c>
      <c r="Y18" s="2">
        <v>105.2</v>
      </c>
      <c r="Z18" s="2">
        <v>105.2</v>
      </c>
      <c r="AA18" s="2">
        <v>108.1</v>
      </c>
      <c r="AB18" s="2">
        <v>103.3</v>
      </c>
      <c r="AC18" s="2">
        <v>106.1</v>
      </c>
      <c r="AD18" s="2">
        <v>109.7</v>
      </c>
    </row>
    <row r="19" spans="1:30" ht="26.5" thickBot="1" x14ac:dyDescent="0.4">
      <c r="A19" s="1" t="s">
        <v>34</v>
      </c>
      <c r="B19" s="2">
        <v>2013</v>
      </c>
      <c r="C19" s="1" t="s">
        <v>39</v>
      </c>
      <c r="D19" s="2">
        <v>113.8</v>
      </c>
      <c r="E19" s="2">
        <v>114.9</v>
      </c>
      <c r="F19" s="2">
        <v>109.8</v>
      </c>
      <c r="G19" s="2">
        <v>107.9</v>
      </c>
      <c r="H19" s="2">
        <v>104.2</v>
      </c>
      <c r="I19" s="2">
        <v>110.7</v>
      </c>
      <c r="J19" s="2">
        <v>126.7</v>
      </c>
      <c r="K19" s="2">
        <v>106.3</v>
      </c>
      <c r="L19" s="2">
        <v>103.2</v>
      </c>
      <c r="M19" s="2">
        <v>105.7</v>
      </c>
      <c r="N19" s="2">
        <v>109</v>
      </c>
      <c r="O19" s="2">
        <v>111.6</v>
      </c>
      <c r="P19" s="2">
        <v>112.2</v>
      </c>
      <c r="Q19" s="2">
        <v>109.5</v>
      </c>
      <c r="R19" s="2">
        <v>109.5</v>
      </c>
      <c r="S19" s="2">
        <v>108.1</v>
      </c>
      <c r="T19" s="2">
        <v>109.3</v>
      </c>
      <c r="U19" s="2">
        <v>106.6</v>
      </c>
      <c r="V19" s="2">
        <v>108.3</v>
      </c>
      <c r="W19" s="2">
        <v>107.6</v>
      </c>
      <c r="X19" s="2">
        <v>106.4</v>
      </c>
      <c r="Y19" s="2">
        <v>105.1</v>
      </c>
      <c r="Z19" s="2">
        <v>105.4</v>
      </c>
      <c r="AA19" s="2">
        <v>107.4</v>
      </c>
      <c r="AB19" s="2">
        <v>102.8</v>
      </c>
      <c r="AC19" s="2">
        <v>105.8</v>
      </c>
      <c r="AD19" s="2">
        <v>109.3</v>
      </c>
    </row>
    <row r="20" spans="1:30" ht="15" thickBot="1" x14ac:dyDescent="0.4">
      <c r="A20" s="1" t="s">
        <v>30</v>
      </c>
      <c r="B20" s="2">
        <v>2013</v>
      </c>
      <c r="C20" s="1" t="s">
        <v>40</v>
      </c>
      <c r="D20" s="2">
        <v>113.4</v>
      </c>
      <c r="E20" s="2">
        <v>114.9</v>
      </c>
      <c r="F20" s="2">
        <v>110.5</v>
      </c>
      <c r="G20" s="2">
        <v>109.3</v>
      </c>
      <c r="H20" s="2">
        <v>106.2</v>
      </c>
      <c r="I20" s="2">
        <v>110.3</v>
      </c>
      <c r="J20" s="2">
        <v>129.19999999999999</v>
      </c>
      <c r="K20" s="2">
        <v>107.1</v>
      </c>
      <c r="L20" s="2">
        <v>104.3</v>
      </c>
      <c r="M20" s="2">
        <v>106.4</v>
      </c>
      <c r="N20" s="2">
        <v>109.1</v>
      </c>
      <c r="O20" s="2">
        <v>112.1</v>
      </c>
      <c r="P20" s="2">
        <v>113.1</v>
      </c>
      <c r="Q20" s="2">
        <v>109.8</v>
      </c>
      <c r="R20" s="2">
        <v>110.5</v>
      </c>
      <c r="S20" s="2">
        <v>109.5</v>
      </c>
      <c r="T20" s="2">
        <v>110.3</v>
      </c>
      <c r="U20" s="1" t="s">
        <v>32</v>
      </c>
      <c r="V20" s="2">
        <v>109.5</v>
      </c>
      <c r="W20" s="2">
        <v>108.3</v>
      </c>
      <c r="X20" s="2">
        <v>106.9</v>
      </c>
      <c r="Y20" s="2">
        <v>106.8</v>
      </c>
      <c r="Z20" s="2">
        <v>106.4</v>
      </c>
      <c r="AA20" s="2">
        <v>107.8</v>
      </c>
      <c r="AB20" s="2">
        <v>102.5</v>
      </c>
      <c r="AC20" s="2">
        <v>106.5</v>
      </c>
      <c r="AD20" s="2">
        <v>110.7</v>
      </c>
    </row>
    <row r="21" spans="1:30" ht="15" thickBot="1" x14ac:dyDescent="0.4">
      <c r="A21" s="1" t="s">
        <v>33</v>
      </c>
      <c r="B21" s="2">
        <v>2013</v>
      </c>
      <c r="C21" s="1" t="s">
        <v>40</v>
      </c>
      <c r="D21" s="2">
        <v>117.8</v>
      </c>
      <c r="E21" s="2">
        <v>119.2</v>
      </c>
      <c r="F21" s="2">
        <v>114</v>
      </c>
      <c r="G21" s="2">
        <v>108.3</v>
      </c>
      <c r="H21" s="2">
        <v>101.1</v>
      </c>
      <c r="I21" s="2">
        <v>113.2</v>
      </c>
      <c r="J21" s="2">
        <v>160.9</v>
      </c>
      <c r="K21" s="2">
        <v>105.1</v>
      </c>
      <c r="L21" s="2">
        <v>101.3</v>
      </c>
      <c r="M21" s="2">
        <v>107.5</v>
      </c>
      <c r="N21" s="2">
        <v>110.4</v>
      </c>
      <c r="O21" s="2">
        <v>113.1</v>
      </c>
      <c r="P21" s="2">
        <v>117.5</v>
      </c>
      <c r="Q21" s="2">
        <v>111.7</v>
      </c>
      <c r="R21" s="2">
        <v>109.8</v>
      </c>
      <c r="S21" s="2">
        <v>107.8</v>
      </c>
      <c r="T21" s="2">
        <v>109.5</v>
      </c>
      <c r="U21" s="2">
        <v>107.7</v>
      </c>
      <c r="V21" s="2">
        <v>108.6</v>
      </c>
      <c r="W21" s="2">
        <v>108.1</v>
      </c>
      <c r="X21" s="2">
        <v>107.1</v>
      </c>
      <c r="Y21" s="2">
        <v>107.3</v>
      </c>
      <c r="Z21" s="2">
        <v>105.9</v>
      </c>
      <c r="AA21" s="2">
        <v>110.1</v>
      </c>
      <c r="AB21" s="2">
        <v>103.2</v>
      </c>
      <c r="AC21" s="2">
        <v>107.3</v>
      </c>
      <c r="AD21" s="2">
        <v>111.4</v>
      </c>
    </row>
    <row r="22" spans="1:30" ht="26.5" thickBot="1" x14ac:dyDescent="0.4">
      <c r="A22" s="1" t="s">
        <v>34</v>
      </c>
      <c r="B22" s="2">
        <v>2013</v>
      </c>
      <c r="C22" s="1" t="s">
        <v>40</v>
      </c>
      <c r="D22" s="2">
        <v>114.8</v>
      </c>
      <c r="E22" s="2">
        <v>116.4</v>
      </c>
      <c r="F22" s="2">
        <v>111.9</v>
      </c>
      <c r="G22" s="2">
        <v>108.9</v>
      </c>
      <c r="H22" s="2">
        <v>104.3</v>
      </c>
      <c r="I22" s="2">
        <v>111.7</v>
      </c>
      <c r="J22" s="2">
        <v>140</v>
      </c>
      <c r="K22" s="2">
        <v>106.4</v>
      </c>
      <c r="L22" s="2">
        <v>103.3</v>
      </c>
      <c r="M22" s="2">
        <v>106.8</v>
      </c>
      <c r="N22" s="2">
        <v>109.6</v>
      </c>
      <c r="O22" s="2">
        <v>112.6</v>
      </c>
      <c r="P22" s="2">
        <v>114.7</v>
      </c>
      <c r="Q22" s="2">
        <v>110.3</v>
      </c>
      <c r="R22" s="2">
        <v>110.2</v>
      </c>
      <c r="S22" s="2">
        <v>108.8</v>
      </c>
      <c r="T22" s="2">
        <v>110</v>
      </c>
      <c r="U22" s="2">
        <v>107.7</v>
      </c>
      <c r="V22" s="2">
        <v>109.2</v>
      </c>
      <c r="W22" s="2">
        <v>108.2</v>
      </c>
      <c r="X22" s="2">
        <v>107</v>
      </c>
      <c r="Y22" s="2">
        <v>107.1</v>
      </c>
      <c r="Z22" s="2">
        <v>106.1</v>
      </c>
      <c r="AA22" s="2">
        <v>109.1</v>
      </c>
      <c r="AB22" s="2">
        <v>102.8</v>
      </c>
      <c r="AC22" s="2">
        <v>106.9</v>
      </c>
      <c r="AD22" s="2">
        <v>111</v>
      </c>
    </row>
    <row r="23" spans="1:30" ht="15" thickBot="1" x14ac:dyDescent="0.4">
      <c r="A23" s="1" t="s">
        <v>30</v>
      </c>
      <c r="B23" s="2">
        <v>2013</v>
      </c>
      <c r="C23" s="1" t="s">
        <v>41</v>
      </c>
      <c r="D23" s="2">
        <v>114.3</v>
      </c>
      <c r="E23" s="2">
        <v>115.4</v>
      </c>
      <c r="F23" s="2">
        <v>111.1</v>
      </c>
      <c r="G23" s="2">
        <v>110</v>
      </c>
      <c r="H23" s="2">
        <v>106.4</v>
      </c>
      <c r="I23" s="2">
        <v>110.8</v>
      </c>
      <c r="J23" s="2">
        <v>138.9</v>
      </c>
      <c r="K23" s="2">
        <v>107.4</v>
      </c>
      <c r="L23" s="2">
        <v>104.1</v>
      </c>
      <c r="M23" s="2">
        <v>106.9</v>
      </c>
      <c r="N23" s="2">
        <v>109.7</v>
      </c>
      <c r="O23" s="2">
        <v>112.6</v>
      </c>
      <c r="P23" s="2">
        <v>114.9</v>
      </c>
      <c r="Q23" s="2">
        <v>110.7</v>
      </c>
      <c r="R23" s="2">
        <v>111.3</v>
      </c>
      <c r="S23" s="2">
        <v>110.2</v>
      </c>
      <c r="T23" s="2">
        <v>111.1</v>
      </c>
      <c r="U23" s="1" t="s">
        <v>32</v>
      </c>
      <c r="V23" s="2">
        <v>109.9</v>
      </c>
      <c r="W23" s="2">
        <v>108.7</v>
      </c>
      <c r="X23" s="2">
        <v>107.5</v>
      </c>
      <c r="Y23" s="2">
        <v>107.8</v>
      </c>
      <c r="Z23" s="2">
        <v>106.8</v>
      </c>
      <c r="AA23" s="2">
        <v>108.7</v>
      </c>
      <c r="AB23" s="2">
        <v>105</v>
      </c>
      <c r="AC23" s="2">
        <v>107.5</v>
      </c>
      <c r="AD23" s="2">
        <v>112.1</v>
      </c>
    </row>
    <row r="24" spans="1:30" ht="15" thickBot="1" x14ac:dyDescent="0.4">
      <c r="A24" s="1" t="s">
        <v>33</v>
      </c>
      <c r="B24" s="2">
        <v>2013</v>
      </c>
      <c r="C24" s="1" t="s">
        <v>41</v>
      </c>
      <c r="D24" s="2">
        <v>118.3</v>
      </c>
      <c r="E24" s="2">
        <v>120.4</v>
      </c>
      <c r="F24" s="2">
        <v>112.7</v>
      </c>
      <c r="G24" s="2">
        <v>108.9</v>
      </c>
      <c r="H24" s="2">
        <v>101.1</v>
      </c>
      <c r="I24" s="2">
        <v>108.7</v>
      </c>
      <c r="J24" s="2">
        <v>177</v>
      </c>
      <c r="K24" s="2">
        <v>104.7</v>
      </c>
      <c r="L24" s="2">
        <v>101</v>
      </c>
      <c r="M24" s="2">
        <v>108.5</v>
      </c>
      <c r="N24" s="2">
        <v>110.9</v>
      </c>
      <c r="O24" s="2">
        <v>114.3</v>
      </c>
      <c r="P24" s="2">
        <v>119.6</v>
      </c>
      <c r="Q24" s="2">
        <v>112.4</v>
      </c>
      <c r="R24" s="2">
        <v>110.6</v>
      </c>
      <c r="S24" s="2">
        <v>108.3</v>
      </c>
      <c r="T24" s="2">
        <v>110.2</v>
      </c>
      <c r="U24" s="2">
        <v>108.9</v>
      </c>
      <c r="V24" s="2">
        <v>109.3</v>
      </c>
      <c r="W24" s="2">
        <v>108.7</v>
      </c>
      <c r="X24" s="2">
        <v>107.6</v>
      </c>
      <c r="Y24" s="2">
        <v>108.1</v>
      </c>
      <c r="Z24" s="2">
        <v>106.5</v>
      </c>
      <c r="AA24" s="2">
        <v>110.8</v>
      </c>
      <c r="AB24" s="2">
        <v>106</v>
      </c>
      <c r="AC24" s="2">
        <v>108.3</v>
      </c>
      <c r="AD24" s="2">
        <v>112.7</v>
      </c>
    </row>
    <row r="25" spans="1:30" ht="26.5" thickBot="1" x14ac:dyDescent="0.4">
      <c r="A25" s="1" t="s">
        <v>34</v>
      </c>
      <c r="B25" s="2">
        <v>2013</v>
      </c>
      <c r="C25" s="1" t="s">
        <v>41</v>
      </c>
      <c r="D25" s="2">
        <v>115.6</v>
      </c>
      <c r="E25" s="2">
        <v>117.2</v>
      </c>
      <c r="F25" s="2">
        <v>111.7</v>
      </c>
      <c r="G25" s="2">
        <v>109.6</v>
      </c>
      <c r="H25" s="2">
        <v>104.5</v>
      </c>
      <c r="I25" s="2">
        <v>109.8</v>
      </c>
      <c r="J25" s="2">
        <v>151.80000000000001</v>
      </c>
      <c r="K25" s="2">
        <v>106.5</v>
      </c>
      <c r="L25" s="2">
        <v>103.1</v>
      </c>
      <c r="M25" s="2">
        <v>107.4</v>
      </c>
      <c r="N25" s="2">
        <v>110.2</v>
      </c>
      <c r="O25" s="2">
        <v>113.4</v>
      </c>
      <c r="P25" s="2">
        <v>116.6</v>
      </c>
      <c r="Q25" s="2">
        <v>111.2</v>
      </c>
      <c r="R25" s="2">
        <v>111</v>
      </c>
      <c r="S25" s="2">
        <v>109.4</v>
      </c>
      <c r="T25" s="2">
        <v>110.7</v>
      </c>
      <c r="U25" s="2">
        <v>108.9</v>
      </c>
      <c r="V25" s="2">
        <v>109.7</v>
      </c>
      <c r="W25" s="2">
        <v>108.7</v>
      </c>
      <c r="X25" s="2">
        <v>107.5</v>
      </c>
      <c r="Y25" s="2">
        <v>108</v>
      </c>
      <c r="Z25" s="2">
        <v>106.6</v>
      </c>
      <c r="AA25" s="2">
        <v>109.9</v>
      </c>
      <c r="AB25" s="2">
        <v>105.4</v>
      </c>
      <c r="AC25" s="2">
        <v>107.9</v>
      </c>
      <c r="AD25" s="2">
        <v>112.4</v>
      </c>
    </row>
    <row r="26" spans="1:30" ht="26.5" thickBot="1" x14ac:dyDescent="0.4">
      <c r="A26" s="1" t="s">
        <v>30</v>
      </c>
      <c r="B26" s="2">
        <v>2013</v>
      </c>
      <c r="C26" s="1" t="s">
        <v>42</v>
      </c>
      <c r="D26" s="2">
        <v>115.4</v>
      </c>
      <c r="E26" s="2">
        <v>115.7</v>
      </c>
      <c r="F26" s="2">
        <v>111.7</v>
      </c>
      <c r="G26" s="2">
        <v>111</v>
      </c>
      <c r="H26" s="2">
        <v>107.4</v>
      </c>
      <c r="I26" s="2">
        <v>110.9</v>
      </c>
      <c r="J26" s="2">
        <v>154</v>
      </c>
      <c r="K26" s="2">
        <v>108.1</v>
      </c>
      <c r="L26" s="2">
        <v>104.2</v>
      </c>
      <c r="M26" s="2">
        <v>107.9</v>
      </c>
      <c r="N26" s="2">
        <v>110.4</v>
      </c>
      <c r="O26" s="2">
        <v>114</v>
      </c>
      <c r="P26" s="2">
        <v>117.8</v>
      </c>
      <c r="Q26" s="2">
        <v>111.7</v>
      </c>
      <c r="R26" s="2">
        <v>112.7</v>
      </c>
      <c r="S26" s="2">
        <v>111.4</v>
      </c>
      <c r="T26" s="2">
        <v>112.5</v>
      </c>
      <c r="U26" s="1" t="s">
        <v>32</v>
      </c>
      <c r="V26" s="2">
        <v>111.1</v>
      </c>
      <c r="W26" s="2">
        <v>109.6</v>
      </c>
      <c r="X26" s="2">
        <v>108.3</v>
      </c>
      <c r="Y26" s="2">
        <v>109.3</v>
      </c>
      <c r="Z26" s="2">
        <v>107.7</v>
      </c>
      <c r="AA26" s="2">
        <v>109.8</v>
      </c>
      <c r="AB26" s="2">
        <v>106.7</v>
      </c>
      <c r="AC26" s="2">
        <v>108.7</v>
      </c>
      <c r="AD26" s="2">
        <v>114.2</v>
      </c>
    </row>
    <row r="27" spans="1:30" ht="26.5" thickBot="1" x14ac:dyDescent="0.4">
      <c r="A27" s="1" t="s">
        <v>33</v>
      </c>
      <c r="B27" s="2">
        <v>2013</v>
      </c>
      <c r="C27" s="1" t="s">
        <v>42</v>
      </c>
      <c r="D27" s="2">
        <v>118.6</v>
      </c>
      <c r="E27" s="2">
        <v>119.1</v>
      </c>
      <c r="F27" s="2">
        <v>113.2</v>
      </c>
      <c r="G27" s="2">
        <v>109.6</v>
      </c>
      <c r="H27" s="2">
        <v>101.7</v>
      </c>
      <c r="I27" s="2">
        <v>103.2</v>
      </c>
      <c r="J27" s="2">
        <v>174.3</v>
      </c>
      <c r="K27" s="2">
        <v>105.1</v>
      </c>
      <c r="L27" s="2">
        <v>100.8</v>
      </c>
      <c r="M27" s="2">
        <v>109.1</v>
      </c>
      <c r="N27" s="2">
        <v>111.1</v>
      </c>
      <c r="O27" s="2">
        <v>115.4</v>
      </c>
      <c r="P27" s="2">
        <v>119.2</v>
      </c>
      <c r="Q27" s="2">
        <v>112.9</v>
      </c>
      <c r="R27" s="2">
        <v>111.4</v>
      </c>
      <c r="S27" s="2">
        <v>109</v>
      </c>
      <c r="T27" s="2">
        <v>111.1</v>
      </c>
      <c r="U27" s="2">
        <v>109.7</v>
      </c>
      <c r="V27" s="2">
        <v>109.5</v>
      </c>
      <c r="W27" s="2">
        <v>109.6</v>
      </c>
      <c r="X27" s="2">
        <v>107.9</v>
      </c>
      <c r="Y27" s="2">
        <v>110.4</v>
      </c>
      <c r="Z27" s="2">
        <v>107.4</v>
      </c>
      <c r="AA27" s="2">
        <v>111.2</v>
      </c>
      <c r="AB27" s="2">
        <v>106.9</v>
      </c>
      <c r="AC27" s="2">
        <v>109.4</v>
      </c>
      <c r="AD27" s="2">
        <v>113.2</v>
      </c>
    </row>
    <row r="28" spans="1:30" ht="26.5" thickBot="1" x14ac:dyDescent="0.4">
      <c r="A28" s="1" t="s">
        <v>34</v>
      </c>
      <c r="B28" s="2">
        <v>2013</v>
      </c>
      <c r="C28" s="1" t="s">
        <v>42</v>
      </c>
      <c r="D28" s="2">
        <v>116.4</v>
      </c>
      <c r="E28" s="2">
        <v>116.9</v>
      </c>
      <c r="F28" s="2">
        <v>112.3</v>
      </c>
      <c r="G28" s="2">
        <v>110.5</v>
      </c>
      <c r="H28" s="2">
        <v>105.3</v>
      </c>
      <c r="I28" s="2">
        <v>107.3</v>
      </c>
      <c r="J28" s="2">
        <v>160.9</v>
      </c>
      <c r="K28" s="2">
        <v>107.1</v>
      </c>
      <c r="L28" s="2">
        <v>103.1</v>
      </c>
      <c r="M28" s="2">
        <v>108.3</v>
      </c>
      <c r="N28" s="2">
        <v>110.7</v>
      </c>
      <c r="O28" s="2">
        <v>114.6</v>
      </c>
      <c r="P28" s="2">
        <v>118.3</v>
      </c>
      <c r="Q28" s="2">
        <v>112</v>
      </c>
      <c r="R28" s="2">
        <v>112.2</v>
      </c>
      <c r="S28" s="2">
        <v>110.4</v>
      </c>
      <c r="T28" s="2">
        <v>111.9</v>
      </c>
      <c r="U28" s="2">
        <v>109.7</v>
      </c>
      <c r="V28" s="2">
        <v>110.5</v>
      </c>
      <c r="W28" s="2">
        <v>109.6</v>
      </c>
      <c r="X28" s="2">
        <v>108.1</v>
      </c>
      <c r="Y28" s="2">
        <v>109.9</v>
      </c>
      <c r="Z28" s="2">
        <v>107.5</v>
      </c>
      <c r="AA28" s="2">
        <v>110.6</v>
      </c>
      <c r="AB28" s="2">
        <v>106.8</v>
      </c>
      <c r="AC28" s="2">
        <v>109</v>
      </c>
      <c r="AD28" s="2">
        <v>113.7</v>
      </c>
    </row>
    <row r="29" spans="1:30" ht="15" thickBot="1" x14ac:dyDescent="0.4">
      <c r="A29" s="1" t="s">
        <v>30</v>
      </c>
      <c r="B29" s="2">
        <v>2013</v>
      </c>
      <c r="C29" s="1" t="s">
        <v>43</v>
      </c>
      <c r="D29" s="2">
        <v>116.3</v>
      </c>
      <c r="E29" s="2">
        <v>115.4</v>
      </c>
      <c r="F29" s="2">
        <v>112.6</v>
      </c>
      <c r="G29" s="2">
        <v>111.7</v>
      </c>
      <c r="H29" s="2">
        <v>107.7</v>
      </c>
      <c r="I29" s="2">
        <v>113.2</v>
      </c>
      <c r="J29" s="2">
        <v>164.9</v>
      </c>
      <c r="K29" s="2">
        <v>108.3</v>
      </c>
      <c r="L29" s="2">
        <v>103.9</v>
      </c>
      <c r="M29" s="2">
        <v>108.2</v>
      </c>
      <c r="N29" s="2">
        <v>111.1</v>
      </c>
      <c r="O29" s="2">
        <v>114.9</v>
      </c>
      <c r="P29" s="2">
        <v>119.8</v>
      </c>
      <c r="Q29" s="2">
        <v>112.2</v>
      </c>
      <c r="R29" s="2">
        <v>113.6</v>
      </c>
      <c r="S29" s="2">
        <v>112.3</v>
      </c>
      <c r="T29" s="2">
        <v>113.4</v>
      </c>
      <c r="U29" s="1" t="s">
        <v>32</v>
      </c>
      <c r="V29" s="2">
        <v>111.6</v>
      </c>
      <c r="W29" s="2">
        <v>110.4</v>
      </c>
      <c r="X29" s="2">
        <v>108.9</v>
      </c>
      <c r="Y29" s="2">
        <v>109.3</v>
      </c>
      <c r="Z29" s="2">
        <v>108.3</v>
      </c>
      <c r="AA29" s="2">
        <v>110.2</v>
      </c>
      <c r="AB29" s="2">
        <v>107.5</v>
      </c>
      <c r="AC29" s="2">
        <v>109.1</v>
      </c>
      <c r="AD29" s="2">
        <v>115.5</v>
      </c>
    </row>
    <row r="30" spans="1:30" ht="15" thickBot="1" x14ac:dyDescent="0.4">
      <c r="A30" s="1" t="s">
        <v>33</v>
      </c>
      <c r="B30" s="2">
        <v>2013</v>
      </c>
      <c r="C30" s="1" t="s">
        <v>43</v>
      </c>
      <c r="D30" s="2">
        <v>118.9</v>
      </c>
      <c r="E30" s="2">
        <v>118.1</v>
      </c>
      <c r="F30" s="2">
        <v>114.5</v>
      </c>
      <c r="G30" s="2">
        <v>110.4</v>
      </c>
      <c r="H30" s="2">
        <v>102.3</v>
      </c>
      <c r="I30" s="2">
        <v>106.2</v>
      </c>
      <c r="J30" s="2">
        <v>183.5</v>
      </c>
      <c r="K30" s="2">
        <v>105.3</v>
      </c>
      <c r="L30" s="2">
        <v>100.2</v>
      </c>
      <c r="M30" s="2">
        <v>109.6</v>
      </c>
      <c r="N30" s="2">
        <v>111.4</v>
      </c>
      <c r="O30" s="2">
        <v>116</v>
      </c>
      <c r="P30" s="2">
        <v>120.8</v>
      </c>
      <c r="Q30" s="2">
        <v>113.5</v>
      </c>
      <c r="R30" s="2">
        <v>112.5</v>
      </c>
      <c r="S30" s="2">
        <v>109.7</v>
      </c>
      <c r="T30" s="2">
        <v>112</v>
      </c>
      <c r="U30" s="2">
        <v>110.5</v>
      </c>
      <c r="V30" s="2">
        <v>109.7</v>
      </c>
      <c r="W30" s="2">
        <v>110.2</v>
      </c>
      <c r="X30" s="2">
        <v>108.2</v>
      </c>
      <c r="Y30" s="2">
        <v>109.7</v>
      </c>
      <c r="Z30" s="2">
        <v>108</v>
      </c>
      <c r="AA30" s="2">
        <v>111.3</v>
      </c>
      <c r="AB30" s="2">
        <v>107.3</v>
      </c>
      <c r="AC30" s="2">
        <v>109.4</v>
      </c>
      <c r="AD30" s="2">
        <v>114</v>
      </c>
    </row>
    <row r="31" spans="1:30" ht="26.5" thickBot="1" x14ac:dyDescent="0.4">
      <c r="A31" s="1" t="s">
        <v>34</v>
      </c>
      <c r="B31" s="2">
        <v>2013</v>
      </c>
      <c r="C31" s="1" t="s">
        <v>43</v>
      </c>
      <c r="D31" s="2">
        <v>117.1</v>
      </c>
      <c r="E31" s="2">
        <v>116.3</v>
      </c>
      <c r="F31" s="2">
        <v>113.3</v>
      </c>
      <c r="G31" s="2">
        <v>111.2</v>
      </c>
      <c r="H31" s="2">
        <v>105.7</v>
      </c>
      <c r="I31" s="2">
        <v>109.9</v>
      </c>
      <c r="J31" s="2">
        <v>171.2</v>
      </c>
      <c r="K31" s="2">
        <v>107.3</v>
      </c>
      <c r="L31" s="2">
        <v>102.7</v>
      </c>
      <c r="M31" s="2">
        <v>108.7</v>
      </c>
      <c r="N31" s="2">
        <v>111.2</v>
      </c>
      <c r="O31" s="2">
        <v>115.4</v>
      </c>
      <c r="P31" s="2">
        <v>120.2</v>
      </c>
      <c r="Q31" s="2">
        <v>112.5</v>
      </c>
      <c r="R31" s="2">
        <v>113.2</v>
      </c>
      <c r="S31" s="2">
        <v>111.2</v>
      </c>
      <c r="T31" s="2">
        <v>112.8</v>
      </c>
      <c r="U31" s="2">
        <v>110.5</v>
      </c>
      <c r="V31" s="2">
        <v>110.9</v>
      </c>
      <c r="W31" s="2">
        <v>110.3</v>
      </c>
      <c r="X31" s="2">
        <v>108.6</v>
      </c>
      <c r="Y31" s="2">
        <v>109.5</v>
      </c>
      <c r="Z31" s="2">
        <v>108.1</v>
      </c>
      <c r="AA31" s="2">
        <v>110.8</v>
      </c>
      <c r="AB31" s="2">
        <v>107.4</v>
      </c>
      <c r="AC31" s="2">
        <v>109.2</v>
      </c>
      <c r="AD31" s="2">
        <v>114.8</v>
      </c>
    </row>
    <row r="32" spans="1:30" ht="26.5" thickBot="1" x14ac:dyDescent="0.4">
      <c r="A32" s="1" t="s">
        <v>30</v>
      </c>
      <c r="B32" s="2">
        <v>2013</v>
      </c>
      <c r="C32" s="1" t="s">
        <v>44</v>
      </c>
      <c r="D32" s="2">
        <v>117.3</v>
      </c>
      <c r="E32" s="2">
        <v>114.9</v>
      </c>
      <c r="F32" s="2">
        <v>116.2</v>
      </c>
      <c r="G32" s="2">
        <v>112.8</v>
      </c>
      <c r="H32" s="2">
        <v>108.9</v>
      </c>
      <c r="I32" s="2">
        <v>116.6</v>
      </c>
      <c r="J32" s="2">
        <v>178.1</v>
      </c>
      <c r="K32" s="2">
        <v>109.1</v>
      </c>
      <c r="L32" s="2">
        <v>103.6</v>
      </c>
      <c r="M32" s="2">
        <v>109</v>
      </c>
      <c r="N32" s="2">
        <v>111.8</v>
      </c>
      <c r="O32" s="2">
        <v>116</v>
      </c>
      <c r="P32" s="2">
        <v>122.5</v>
      </c>
      <c r="Q32" s="2">
        <v>112.8</v>
      </c>
      <c r="R32" s="2">
        <v>114.6</v>
      </c>
      <c r="S32" s="2">
        <v>113.1</v>
      </c>
      <c r="T32" s="2">
        <v>114.4</v>
      </c>
      <c r="U32" s="1" t="s">
        <v>32</v>
      </c>
      <c r="V32" s="2">
        <v>112.6</v>
      </c>
      <c r="W32" s="2">
        <v>111.3</v>
      </c>
      <c r="X32" s="2">
        <v>109.7</v>
      </c>
      <c r="Y32" s="2">
        <v>109.6</v>
      </c>
      <c r="Z32" s="2">
        <v>108.7</v>
      </c>
      <c r="AA32" s="2">
        <v>111</v>
      </c>
      <c r="AB32" s="2">
        <v>108.2</v>
      </c>
      <c r="AC32" s="2">
        <v>109.8</v>
      </c>
      <c r="AD32" s="2">
        <v>117.4</v>
      </c>
    </row>
    <row r="33" spans="1:30" ht="26.5" thickBot="1" x14ac:dyDescent="0.4">
      <c r="A33" s="1" t="s">
        <v>33</v>
      </c>
      <c r="B33" s="2">
        <v>2013</v>
      </c>
      <c r="C33" s="1" t="s">
        <v>44</v>
      </c>
      <c r="D33" s="2">
        <v>119.8</v>
      </c>
      <c r="E33" s="2">
        <v>116.3</v>
      </c>
      <c r="F33" s="2">
        <v>122.6</v>
      </c>
      <c r="G33" s="2">
        <v>112</v>
      </c>
      <c r="H33" s="2">
        <v>103.2</v>
      </c>
      <c r="I33" s="2">
        <v>110</v>
      </c>
      <c r="J33" s="2">
        <v>192.8</v>
      </c>
      <c r="K33" s="2">
        <v>106.3</v>
      </c>
      <c r="L33" s="2">
        <v>99.5</v>
      </c>
      <c r="M33" s="2">
        <v>110.3</v>
      </c>
      <c r="N33" s="2">
        <v>111.8</v>
      </c>
      <c r="O33" s="2">
        <v>117.1</v>
      </c>
      <c r="P33" s="2">
        <v>122.9</v>
      </c>
      <c r="Q33" s="2">
        <v>114.1</v>
      </c>
      <c r="R33" s="2">
        <v>113.5</v>
      </c>
      <c r="S33" s="2">
        <v>110.3</v>
      </c>
      <c r="T33" s="2">
        <v>113</v>
      </c>
      <c r="U33" s="2">
        <v>111.1</v>
      </c>
      <c r="V33" s="2">
        <v>110</v>
      </c>
      <c r="W33" s="2">
        <v>110.9</v>
      </c>
      <c r="X33" s="2">
        <v>108.6</v>
      </c>
      <c r="Y33" s="2">
        <v>109.5</v>
      </c>
      <c r="Z33" s="2">
        <v>108.5</v>
      </c>
      <c r="AA33" s="2">
        <v>111.3</v>
      </c>
      <c r="AB33" s="2">
        <v>107.9</v>
      </c>
      <c r="AC33" s="2">
        <v>109.6</v>
      </c>
      <c r="AD33" s="2">
        <v>115</v>
      </c>
    </row>
    <row r="34" spans="1:30" ht="26.5" thickBot="1" x14ac:dyDescent="0.4">
      <c r="A34" s="1" t="s">
        <v>34</v>
      </c>
      <c r="B34" s="2">
        <v>2013</v>
      </c>
      <c r="C34" s="1" t="s">
        <v>44</v>
      </c>
      <c r="D34" s="2">
        <v>118.1</v>
      </c>
      <c r="E34" s="2">
        <v>115.4</v>
      </c>
      <c r="F34" s="2">
        <v>118.7</v>
      </c>
      <c r="G34" s="2">
        <v>112.5</v>
      </c>
      <c r="H34" s="2">
        <v>106.8</v>
      </c>
      <c r="I34" s="2">
        <v>113.5</v>
      </c>
      <c r="J34" s="2">
        <v>183.1</v>
      </c>
      <c r="K34" s="2">
        <v>108.2</v>
      </c>
      <c r="L34" s="2">
        <v>102.2</v>
      </c>
      <c r="M34" s="2">
        <v>109.4</v>
      </c>
      <c r="N34" s="2">
        <v>111.8</v>
      </c>
      <c r="O34" s="2">
        <v>116.5</v>
      </c>
      <c r="P34" s="2">
        <v>122.6</v>
      </c>
      <c r="Q34" s="2">
        <v>113.1</v>
      </c>
      <c r="R34" s="2">
        <v>114.2</v>
      </c>
      <c r="S34" s="2">
        <v>111.9</v>
      </c>
      <c r="T34" s="2">
        <v>113.8</v>
      </c>
      <c r="U34" s="2">
        <v>111.1</v>
      </c>
      <c r="V34" s="2">
        <v>111.6</v>
      </c>
      <c r="W34" s="2">
        <v>111.1</v>
      </c>
      <c r="X34" s="2">
        <v>109.3</v>
      </c>
      <c r="Y34" s="2">
        <v>109.5</v>
      </c>
      <c r="Z34" s="2">
        <v>108.6</v>
      </c>
      <c r="AA34" s="2">
        <v>111.2</v>
      </c>
      <c r="AB34" s="2">
        <v>108.1</v>
      </c>
      <c r="AC34" s="2">
        <v>109.7</v>
      </c>
      <c r="AD34" s="2">
        <v>116.3</v>
      </c>
    </row>
    <row r="35" spans="1:30" ht="26.5" thickBot="1" x14ac:dyDescent="0.4">
      <c r="A35" s="1" t="s">
        <v>30</v>
      </c>
      <c r="B35" s="2">
        <v>2013</v>
      </c>
      <c r="C35" s="1" t="s">
        <v>45</v>
      </c>
      <c r="D35" s="2">
        <v>118.4</v>
      </c>
      <c r="E35" s="2">
        <v>115.9</v>
      </c>
      <c r="F35" s="2">
        <v>120.4</v>
      </c>
      <c r="G35" s="2">
        <v>113.8</v>
      </c>
      <c r="H35" s="2">
        <v>109.5</v>
      </c>
      <c r="I35" s="2">
        <v>115.5</v>
      </c>
      <c r="J35" s="2">
        <v>145.69999999999999</v>
      </c>
      <c r="K35" s="2">
        <v>109.5</v>
      </c>
      <c r="L35" s="2">
        <v>102.9</v>
      </c>
      <c r="M35" s="2">
        <v>109.8</v>
      </c>
      <c r="N35" s="2">
        <v>112.1</v>
      </c>
      <c r="O35" s="2">
        <v>116.8</v>
      </c>
      <c r="P35" s="2">
        <v>118.7</v>
      </c>
      <c r="Q35" s="2">
        <v>113.6</v>
      </c>
      <c r="R35" s="2">
        <v>115.8</v>
      </c>
      <c r="S35" s="2">
        <v>114</v>
      </c>
      <c r="T35" s="2">
        <v>115.5</v>
      </c>
      <c r="U35" s="1" t="s">
        <v>32</v>
      </c>
      <c r="V35" s="2">
        <v>112.8</v>
      </c>
      <c r="W35" s="2">
        <v>112.1</v>
      </c>
      <c r="X35" s="2">
        <v>110.1</v>
      </c>
      <c r="Y35" s="2">
        <v>109.9</v>
      </c>
      <c r="Z35" s="2">
        <v>109.2</v>
      </c>
      <c r="AA35" s="2">
        <v>111.6</v>
      </c>
      <c r="AB35" s="2">
        <v>108.1</v>
      </c>
      <c r="AC35" s="2">
        <v>110.1</v>
      </c>
      <c r="AD35" s="2">
        <v>115.5</v>
      </c>
    </row>
    <row r="36" spans="1:30" ht="26.5" thickBot="1" x14ac:dyDescent="0.4">
      <c r="A36" s="1" t="s">
        <v>33</v>
      </c>
      <c r="B36" s="2">
        <v>2013</v>
      </c>
      <c r="C36" s="1" t="s">
        <v>45</v>
      </c>
      <c r="D36" s="2">
        <v>120.5</v>
      </c>
      <c r="E36" s="2">
        <v>118.1</v>
      </c>
      <c r="F36" s="2">
        <v>128.5</v>
      </c>
      <c r="G36" s="2">
        <v>112.8</v>
      </c>
      <c r="H36" s="2">
        <v>103.4</v>
      </c>
      <c r="I36" s="2">
        <v>110.7</v>
      </c>
      <c r="J36" s="2">
        <v>144.80000000000001</v>
      </c>
      <c r="K36" s="2">
        <v>107.1</v>
      </c>
      <c r="L36" s="2">
        <v>98.6</v>
      </c>
      <c r="M36" s="2">
        <v>111.9</v>
      </c>
      <c r="N36" s="2">
        <v>112.1</v>
      </c>
      <c r="O36" s="2">
        <v>118.1</v>
      </c>
      <c r="P36" s="2">
        <v>117.8</v>
      </c>
      <c r="Q36" s="2">
        <v>115</v>
      </c>
      <c r="R36" s="2">
        <v>114.2</v>
      </c>
      <c r="S36" s="2">
        <v>110.9</v>
      </c>
      <c r="T36" s="2">
        <v>113.7</v>
      </c>
      <c r="U36" s="2">
        <v>110.7</v>
      </c>
      <c r="V36" s="2">
        <v>110.4</v>
      </c>
      <c r="W36" s="2">
        <v>111.3</v>
      </c>
      <c r="X36" s="2">
        <v>109</v>
      </c>
      <c r="Y36" s="2">
        <v>109.7</v>
      </c>
      <c r="Z36" s="2">
        <v>108.9</v>
      </c>
      <c r="AA36" s="2">
        <v>111.4</v>
      </c>
      <c r="AB36" s="2">
        <v>107.7</v>
      </c>
      <c r="AC36" s="2">
        <v>109.8</v>
      </c>
      <c r="AD36" s="2">
        <v>113.3</v>
      </c>
    </row>
    <row r="37" spans="1:30" ht="26.5" thickBot="1" x14ac:dyDescent="0.4">
      <c r="A37" s="1" t="s">
        <v>34</v>
      </c>
      <c r="B37" s="2">
        <v>2013</v>
      </c>
      <c r="C37" s="1" t="s">
        <v>45</v>
      </c>
      <c r="D37" s="2">
        <v>119.1</v>
      </c>
      <c r="E37" s="2">
        <v>116.7</v>
      </c>
      <c r="F37" s="2">
        <v>123.5</v>
      </c>
      <c r="G37" s="2">
        <v>113.4</v>
      </c>
      <c r="H37" s="2">
        <v>107.3</v>
      </c>
      <c r="I37" s="2">
        <v>113.3</v>
      </c>
      <c r="J37" s="2">
        <v>145.4</v>
      </c>
      <c r="K37" s="2">
        <v>108.7</v>
      </c>
      <c r="L37" s="2">
        <v>101.5</v>
      </c>
      <c r="M37" s="2">
        <v>110.5</v>
      </c>
      <c r="N37" s="2">
        <v>112.1</v>
      </c>
      <c r="O37" s="2">
        <v>117.4</v>
      </c>
      <c r="P37" s="2">
        <v>118.4</v>
      </c>
      <c r="Q37" s="2">
        <v>114</v>
      </c>
      <c r="R37" s="2">
        <v>115.2</v>
      </c>
      <c r="S37" s="2">
        <v>112.7</v>
      </c>
      <c r="T37" s="2">
        <v>114.8</v>
      </c>
      <c r="U37" s="2">
        <v>110.7</v>
      </c>
      <c r="V37" s="2">
        <v>111.9</v>
      </c>
      <c r="W37" s="2">
        <v>111.7</v>
      </c>
      <c r="X37" s="2">
        <v>109.7</v>
      </c>
      <c r="Y37" s="2">
        <v>109.8</v>
      </c>
      <c r="Z37" s="2">
        <v>109</v>
      </c>
      <c r="AA37" s="2">
        <v>111.5</v>
      </c>
      <c r="AB37" s="2">
        <v>107.9</v>
      </c>
      <c r="AC37" s="2">
        <v>110</v>
      </c>
      <c r="AD37" s="2">
        <v>114.5</v>
      </c>
    </row>
    <row r="38" spans="1:30" ht="15" thickBot="1" x14ac:dyDescent="0.4">
      <c r="A38" s="1" t="s">
        <v>30</v>
      </c>
      <c r="B38" s="2">
        <v>2014</v>
      </c>
      <c r="C38" s="1" t="s">
        <v>31</v>
      </c>
      <c r="D38" s="2">
        <v>118.9</v>
      </c>
      <c r="E38" s="2">
        <v>117.1</v>
      </c>
      <c r="F38" s="2">
        <v>120.5</v>
      </c>
      <c r="G38" s="2">
        <v>114.4</v>
      </c>
      <c r="H38" s="2">
        <v>109</v>
      </c>
      <c r="I38" s="2">
        <v>115.5</v>
      </c>
      <c r="J38" s="2">
        <v>123.9</v>
      </c>
      <c r="K38" s="2">
        <v>109.6</v>
      </c>
      <c r="L38" s="2">
        <v>101.8</v>
      </c>
      <c r="M38" s="2">
        <v>110.2</v>
      </c>
      <c r="N38" s="2">
        <v>112.4</v>
      </c>
      <c r="O38" s="2">
        <v>117.3</v>
      </c>
      <c r="P38" s="2">
        <v>116</v>
      </c>
      <c r="Q38" s="2">
        <v>114</v>
      </c>
      <c r="R38" s="2">
        <v>116.5</v>
      </c>
      <c r="S38" s="2">
        <v>114.5</v>
      </c>
      <c r="T38" s="2">
        <v>116.2</v>
      </c>
      <c r="U38" s="1" t="s">
        <v>32</v>
      </c>
      <c r="V38" s="2">
        <v>113</v>
      </c>
      <c r="W38" s="2">
        <v>112.6</v>
      </c>
      <c r="X38" s="2">
        <v>110.6</v>
      </c>
      <c r="Y38" s="2">
        <v>110.5</v>
      </c>
      <c r="Z38" s="2">
        <v>109.6</v>
      </c>
      <c r="AA38" s="2">
        <v>111.8</v>
      </c>
      <c r="AB38" s="2">
        <v>108.3</v>
      </c>
      <c r="AC38" s="2">
        <v>110.6</v>
      </c>
      <c r="AD38" s="2">
        <v>114.2</v>
      </c>
    </row>
    <row r="39" spans="1:30" ht="15" thickBot="1" x14ac:dyDescent="0.4">
      <c r="A39" s="1" t="s">
        <v>33</v>
      </c>
      <c r="B39" s="2">
        <v>2014</v>
      </c>
      <c r="C39" s="1" t="s">
        <v>31</v>
      </c>
      <c r="D39" s="2">
        <v>121.2</v>
      </c>
      <c r="E39" s="2">
        <v>122</v>
      </c>
      <c r="F39" s="2">
        <v>129.9</v>
      </c>
      <c r="G39" s="2">
        <v>113.6</v>
      </c>
      <c r="H39" s="2">
        <v>102.9</v>
      </c>
      <c r="I39" s="2">
        <v>112.1</v>
      </c>
      <c r="J39" s="2">
        <v>118.9</v>
      </c>
      <c r="K39" s="2">
        <v>107.5</v>
      </c>
      <c r="L39" s="2">
        <v>96.9</v>
      </c>
      <c r="M39" s="2">
        <v>112.7</v>
      </c>
      <c r="N39" s="2">
        <v>112.1</v>
      </c>
      <c r="O39" s="2">
        <v>119</v>
      </c>
      <c r="P39" s="2">
        <v>115.5</v>
      </c>
      <c r="Q39" s="2">
        <v>115.7</v>
      </c>
      <c r="R39" s="2">
        <v>114.8</v>
      </c>
      <c r="S39" s="2">
        <v>111.3</v>
      </c>
      <c r="T39" s="2">
        <v>114.3</v>
      </c>
      <c r="U39" s="2">
        <v>111.6</v>
      </c>
      <c r="V39" s="2">
        <v>111</v>
      </c>
      <c r="W39" s="2">
        <v>111.9</v>
      </c>
      <c r="X39" s="2">
        <v>109.7</v>
      </c>
      <c r="Y39" s="2">
        <v>110.8</v>
      </c>
      <c r="Z39" s="2">
        <v>109.8</v>
      </c>
      <c r="AA39" s="2">
        <v>111.5</v>
      </c>
      <c r="AB39" s="2">
        <v>108</v>
      </c>
      <c r="AC39" s="2">
        <v>110.5</v>
      </c>
      <c r="AD39" s="2">
        <v>112.9</v>
      </c>
    </row>
    <row r="40" spans="1:30" ht="26.5" thickBot="1" x14ac:dyDescent="0.4">
      <c r="A40" s="1" t="s">
        <v>34</v>
      </c>
      <c r="B40" s="2">
        <v>2014</v>
      </c>
      <c r="C40" s="1" t="s">
        <v>31</v>
      </c>
      <c r="D40" s="2">
        <v>119.6</v>
      </c>
      <c r="E40" s="2">
        <v>118.8</v>
      </c>
      <c r="F40" s="2">
        <v>124.1</v>
      </c>
      <c r="G40" s="2">
        <v>114.1</v>
      </c>
      <c r="H40" s="2">
        <v>106.8</v>
      </c>
      <c r="I40" s="2">
        <v>113.9</v>
      </c>
      <c r="J40" s="2">
        <v>122.2</v>
      </c>
      <c r="K40" s="2">
        <v>108.9</v>
      </c>
      <c r="L40" s="2">
        <v>100.2</v>
      </c>
      <c r="M40" s="2">
        <v>111</v>
      </c>
      <c r="N40" s="2">
        <v>112.3</v>
      </c>
      <c r="O40" s="2">
        <v>118.1</v>
      </c>
      <c r="P40" s="2">
        <v>115.8</v>
      </c>
      <c r="Q40" s="2">
        <v>114.5</v>
      </c>
      <c r="R40" s="2">
        <v>115.8</v>
      </c>
      <c r="S40" s="2">
        <v>113.2</v>
      </c>
      <c r="T40" s="2">
        <v>115.4</v>
      </c>
      <c r="U40" s="2">
        <v>111.6</v>
      </c>
      <c r="V40" s="2">
        <v>112.2</v>
      </c>
      <c r="W40" s="2">
        <v>112.3</v>
      </c>
      <c r="X40" s="2">
        <v>110.3</v>
      </c>
      <c r="Y40" s="2">
        <v>110.7</v>
      </c>
      <c r="Z40" s="2">
        <v>109.7</v>
      </c>
      <c r="AA40" s="2">
        <v>111.6</v>
      </c>
      <c r="AB40" s="2">
        <v>108.2</v>
      </c>
      <c r="AC40" s="2">
        <v>110.6</v>
      </c>
      <c r="AD40" s="2">
        <v>113.6</v>
      </c>
    </row>
    <row r="41" spans="1:30" ht="15" thickBot="1" x14ac:dyDescent="0.4">
      <c r="A41" s="1" t="s">
        <v>30</v>
      </c>
      <c r="B41" s="2">
        <v>2014</v>
      </c>
      <c r="C41" s="1" t="s">
        <v>35</v>
      </c>
      <c r="D41" s="2">
        <v>119.4</v>
      </c>
      <c r="E41" s="2">
        <v>117.7</v>
      </c>
      <c r="F41" s="2">
        <v>121.2</v>
      </c>
      <c r="G41" s="2">
        <v>115</v>
      </c>
      <c r="H41" s="2">
        <v>109</v>
      </c>
      <c r="I41" s="2">
        <v>116.6</v>
      </c>
      <c r="J41" s="2">
        <v>116</v>
      </c>
      <c r="K41" s="2">
        <v>109.8</v>
      </c>
      <c r="L41" s="2">
        <v>101.1</v>
      </c>
      <c r="M41" s="2">
        <v>110.4</v>
      </c>
      <c r="N41" s="2">
        <v>112.9</v>
      </c>
      <c r="O41" s="2">
        <v>117.8</v>
      </c>
      <c r="P41" s="2">
        <v>115.3</v>
      </c>
      <c r="Q41" s="2">
        <v>114.2</v>
      </c>
      <c r="R41" s="2">
        <v>117.1</v>
      </c>
      <c r="S41" s="2">
        <v>114.5</v>
      </c>
      <c r="T41" s="2">
        <v>116.7</v>
      </c>
      <c r="U41" s="1" t="s">
        <v>32</v>
      </c>
      <c r="V41" s="2">
        <v>113.2</v>
      </c>
      <c r="W41" s="2">
        <v>112.9</v>
      </c>
      <c r="X41" s="2">
        <v>110.9</v>
      </c>
      <c r="Y41" s="2">
        <v>110.8</v>
      </c>
      <c r="Z41" s="2">
        <v>109.9</v>
      </c>
      <c r="AA41" s="2">
        <v>112</v>
      </c>
      <c r="AB41" s="2">
        <v>108.7</v>
      </c>
      <c r="AC41" s="2">
        <v>110.9</v>
      </c>
      <c r="AD41" s="2">
        <v>114</v>
      </c>
    </row>
    <row r="42" spans="1:30" ht="15" thickBot="1" x14ac:dyDescent="0.4">
      <c r="A42" s="1" t="s">
        <v>33</v>
      </c>
      <c r="B42" s="2">
        <v>2014</v>
      </c>
      <c r="C42" s="1" t="s">
        <v>35</v>
      </c>
      <c r="D42" s="2">
        <v>121.9</v>
      </c>
      <c r="E42" s="2">
        <v>122</v>
      </c>
      <c r="F42" s="2">
        <v>124.5</v>
      </c>
      <c r="G42" s="2">
        <v>115.2</v>
      </c>
      <c r="H42" s="2">
        <v>102.5</v>
      </c>
      <c r="I42" s="2">
        <v>114.1</v>
      </c>
      <c r="J42" s="2">
        <v>111.5</v>
      </c>
      <c r="K42" s="2">
        <v>108.2</v>
      </c>
      <c r="L42" s="2">
        <v>95.4</v>
      </c>
      <c r="M42" s="2">
        <v>113.5</v>
      </c>
      <c r="N42" s="2">
        <v>112.1</v>
      </c>
      <c r="O42" s="2">
        <v>119.9</v>
      </c>
      <c r="P42" s="2">
        <v>115.2</v>
      </c>
      <c r="Q42" s="2">
        <v>116.2</v>
      </c>
      <c r="R42" s="2">
        <v>115.3</v>
      </c>
      <c r="S42" s="2">
        <v>111.7</v>
      </c>
      <c r="T42" s="2">
        <v>114.7</v>
      </c>
      <c r="U42" s="2">
        <v>112.5</v>
      </c>
      <c r="V42" s="2">
        <v>111.1</v>
      </c>
      <c r="W42" s="2">
        <v>112.6</v>
      </c>
      <c r="X42" s="2">
        <v>110.4</v>
      </c>
      <c r="Y42" s="2">
        <v>111.3</v>
      </c>
      <c r="Z42" s="2">
        <v>110.3</v>
      </c>
      <c r="AA42" s="2">
        <v>111.6</v>
      </c>
      <c r="AB42" s="2">
        <v>108.7</v>
      </c>
      <c r="AC42" s="2">
        <v>111</v>
      </c>
      <c r="AD42" s="2">
        <v>113.1</v>
      </c>
    </row>
    <row r="43" spans="1:30" ht="26.5" thickBot="1" x14ac:dyDescent="0.4">
      <c r="A43" s="1" t="s">
        <v>34</v>
      </c>
      <c r="B43" s="2">
        <v>2014</v>
      </c>
      <c r="C43" s="1" t="s">
        <v>35</v>
      </c>
      <c r="D43" s="2">
        <v>120.2</v>
      </c>
      <c r="E43" s="2">
        <v>119.2</v>
      </c>
      <c r="F43" s="2">
        <v>122.5</v>
      </c>
      <c r="G43" s="2">
        <v>115.1</v>
      </c>
      <c r="H43" s="2">
        <v>106.6</v>
      </c>
      <c r="I43" s="2">
        <v>115.4</v>
      </c>
      <c r="J43" s="2">
        <v>114.5</v>
      </c>
      <c r="K43" s="2">
        <v>109.3</v>
      </c>
      <c r="L43" s="2">
        <v>99.2</v>
      </c>
      <c r="M43" s="2">
        <v>111.4</v>
      </c>
      <c r="N43" s="2">
        <v>112.6</v>
      </c>
      <c r="O43" s="2">
        <v>118.8</v>
      </c>
      <c r="P43" s="2">
        <v>115.3</v>
      </c>
      <c r="Q43" s="2">
        <v>114.7</v>
      </c>
      <c r="R43" s="2">
        <v>116.4</v>
      </c>
      <c r="S43" s="2">
        <v>113.3</v>
      </c>
      <c r="T43" s="2">
        <v>115.9</v>
      </c>
      <c r="U43" s="2">
        <v>112.5</v>
      </c>
      <c r="V43" s="2">
        <v>112.4</v>
      </c>
      <c r="W43" s="2">
        <v>112.8</v>
      </c>
      <c r="X43" s="2">
        <v>110.7</v>
      </c>
      <c r="Y43" s="2">
        <v>111.1</v>
      </c>
      <c r="Z43" s="2">
        <v>110.1</v>
      </c>
      <c r="AA43" s="2">
        <v>111.8</v>
      </c>
      <c r="AB43" s="2">
        <v>108.7</v>
      </c>
      <c r="AC43" s="2">
        <v>110.9</v>
      </c>
      <c r="AD43" s="2">
        <v>113.6</v>
      </c>
    </row>
    <row r="44" spans="1:30" ht="15" thickBot="1" x14ac:dyDescent="0.4">
      <c r="A44" s="1" t="s">
        <v>30</v>
      </c>
      <c r="B44" s="2">
        <v>2014</v>
      </c>
      <c r="C44" s="1" t="s">
        <v>36</v>
      </c>
      <c r="D44" s="2">
        <v>120.1</v>
      </c>
      <c r="E44" s="2">
        <v>118.1</v>
      </c>
      <c r="F44" s="2">
        <v>120.7</v>
      </c>
      <c r="G44" s="2">
        <v>116.1</v>
      </c>
      <c r="H44" s="2">
        <v>109.3</v>
      </c>
      <c r="I44" s="2">
        <v>119.6</v>
      </c>
      <c r="J44" s="2">
        <v>117.9</v>
      </c>
      <c r="K44" s="2">
        <v>110.2</v>
      </c>
      <c r="L44" s="2">
        <v>101.2</v>
      </c>
      <c r="M44" s="2">
        <v>110.7</v>
      </c>
      <c r="N44" s="2">
        <v>113</v>
      </c>
      <c r="O44" s="2">
        <v>118.3</v>
      </c>
      <c r="P44" s="2">
        <v>116.2</v>
      </c>
      <c r="Q44" s="2">
        <v>114.6</v>
      </c>
      <c r="R44" s="2">
        <v>117.5</v>
      </c>
      <c r="S44" s="2">
        <v>114.9</v>
      </c>
      <c r="T44" s="2">
        <v>117.2</v>
      </c>
      <c r="U44" s="1" t="s">
        <v>32</v>
      </c>
      <c r="V44" s="2">
        <v>113.4</v>
      </c>
      <c r="W44" s="2">
        <v>113.4</v>
      </c>
      <c r="X44" s="2">
        <v>111.4</v>
      </c>
      <c r="Y44" s="2">
        <v>111.2</v>
      </c>
      <c r="Z44" s="2">
        <v>110.2</v>
      </c>
      <c r="AA44" s="2">
        <v>112.4</v>
      </c>
      <c r="AB44" s="2">
        <v>108.9</v>
      </c>
      <c r="AC44" s="2">
        <v>111.3</v>
      </c>
      <c r="AD44" s="2">
        <v>114.6</v>
      </c>
    </row>
    <row r="45" spans="1:30" ht="15" thickBot="1" x14ac:dyDescent="0.4">
      <c r="A45" s="1" t="s">
        <v>33</v>
      </c>
      <c r="B45" s="2">
        <v>2014</v>
      </c>
      <c r="C45" s="1" t="s">
        <v>36</v>
      </c>
      <c r="D45" s="2">
        <v>122.1</v>
      </c>
      <c r="E45" s="2">
        <v>121.4</v>
      </c>
      <c r="F45" s="2">
        <v>121.5</v>
      </c>
      <c r="G45" s="2">
        <v>116.2</v>
      </c>
      <c r="H45" s="2">
        <v>102.8</v>
      </c>
      <c r="I45" s="2">
        <v>117.7</v>
      </c>
      <c r="J45" s="2">
        <v>113.3</v>
      </c>
      <c r="K45" s="2">
        <v>108.9</v>
      </c>
      <c r="L45" s="2">
        <v>96.3</v>
      </c>
      <c r="M45" s="2">
        <v>114.1</v>
      </c>
      <c r="N45" s="2">
        <v>112.2</v>
      </c>
      <c r="O45" s="2">
        <v>120.5</v>
      </c>
      <c r="P45" s="2">
        <v>116</v>
      </c>
      <c r="Q45" s="2">
        <v>116.7</v>
      </c>
      <c r="R45" s="2">
        <v>115.8</v>
      </c>
      <c r="S45" s="2">
        <v>112.1</v>
      </c>
      <c r="T45" s="2">
        <v>115.2</v>
      </c>
      <c r="U45" s="2">
        <v>113.2</v>
      </c>
      <c r="V45" s="2">
        <v>110.9</v>
      </c>
      <c r="W45" s="2">
        <v>113</v>
      </c>
      <c r="X45" s="2">
        <v>110.8</v>
      </c>
      <c r="Y45" s="2">
        <v>111.6</v>
      </c>
      <c r="Z45" s="2">
        <v>110.9</v>
      </c>
      <c r="AA45" s="2">
        <v>111.8</v>
      </c>
      <c r="AB45" s="2">
        <v>109.2</v>
      </c>
      <c r="AC45" s="2">
        <v>111.4</v>
      </c>
      <c r="AD45" s="2">
        <v>113.7</v>
      </c>
    </row>
    <row r="46" spans="1:30" ht="26.5" thickBot="1" x14ac:dyDescent="0.4">
      <c r="A46" s="1" t="s">
        <v>34</v>
      </c>
      <c r="B46" s="2">
        <v>2014</v>
      </c>
      <c r="C46" s="1" t="s">
        <v>46</v>
      </c>
      <c r="D46" s="2">
        <v>120.7</v>
      </c>
      <c r="E46" s="2">
        <v>119.3</v>
      </c>
      <c r="F46" s="2">
        <v>121</v>
      </c>
      <c r="G46" s="2">
        <v>116.1</v>
      </c>
      <c r="H46" s="2">
        <v>106.9</v>
      </c>
      <c r="I46" s="2">
        <v>118.7</v>
      </c>
      <c r="J46" s="2">
        <v>116.3</v>
      </c>
      <c r="K46" s="2">
        <v>109.8</v>
      </c>
      <c r="L46" s="2">
        <v>99.6</v>
      </c>
      <c r="M46" s="2">
        <v>111.8</v>
      </c>
      <c r="N46" s="2">
        <v>112.7</v>
      </c>
      <c r="O46" s="2">
        <v>119.3</v>
      </c>
      <c r="P46" s="2">
        <v>116.1</v>
      </c>
      <c r="Q46" s="2">
        <v>115.2</v>
      </c>
      <c r="R46" s="2">
        <v>116.8</v>
      </c>
      <c r="S46" s="2">
        <v>113.7</v>
      </c>
      <c r="T46" s="2">
        <v>116.4</v>
      </c>
      <c r="U46" s="2">
        <v>113.2</v>
      </c>
      <c r="V46" s="2">
        <v>112.5</v>
      </c>
      <c r="W46" s="2">
        <v>113.2</v>
      </c>
      <c r="X46" s="2">
        <v>111.2</v>
      </c>
      <c r="Y46" s="2">
        <v>111.4</v>
      </c>
      <c r="Z46" s="2">
        <v>110.6</v>
      </c>
      <c r="AA46" s="2">
        <v>112</v>
      </c>
      <c r="AB46" s="2">
        <v>109</v>
      </c>
      <c r="AC46" s="2">
        <v>111.3</v>
      </c>
      <c r="AD46" s="2">
        <v>114.2</v>
      </c>
    </row>
    <row r="47" spans="1:30" ht="15" thickBot="1" x14ac:dyDescent="0.4">
      <c r="A47" s="1" t="s">
        <v>30</v>
      </c>
      <c r="B47" s="2">
        <v>2014</v>
      </c>
      <c r="C47" s="1" t="s">
        <v>37</v>
      </c>
      <c r="D47" s="2">
        <v>120.2</v>
      </c>
      <c r="E47" s="2">
        <v>118.9</v>
      </c>
      <c r="F47" s="2">
        <v>118.1</v>
      </c>
      <c r="G47" s="2">
        <v>117</v>
      </c>
      <c r="H47" s="2">
        <v>109.7</v>
      </c>
      <c r="I47" s="2">
        <v>125.5</v>
      </c>
      <c r="J47" s="2">
        <v>120.5</v>
      </c>
      <c r="K47" s="2">
        <v>111</v>
      </c>
      <c r="L47" s="2">
        <v>102.6</v>
      </c>
      <c r="M47" s="2">
        <v>111.2</v>
      </c>
      <c r="N47" s="2">
        <v>113.5</v>
      </c>
      <c r="O47" s="2">
        <v>118.7</v>
      </c>
      <c r="P47" s="2">
        <v>117.2</v>
      </c>
      <c r="Q47" s="2">
        <v>115.4</v>
      </c>
      <c r="R47" s="2">
        <v>118.1</v>
      </c>
      <c r="S47" s="2">
        <v>116.1</v>
      </c>
      <c r="T47" s="2">
        <v>117.8</v>
      </c>
      <c r="U47" s="1" t="s">
        <v>32</v>
      </c>
      <c r="V47" s="2">
        <v>113.4</v>
      </c>
      <c r="W47" s="2">
        <v>113.7</v>
      </c>
      <c r="X47" s="2">
        <v>111.8</v>
      </c>
      <c r="Y47" s="2">
        <v>111.2</v>
      </c>
      <c r="Z47" s="2">
        <v>110.5</v>
      </c>
      <c r="AA47" s="2">
        <v>113</v>
      </c>
      <c r="AB47" s="2">
        <v>108.9</v>
      </c>
      <c r="AC47" s="2">
        <v>111.5</v>
      </c>
      <c r="AD47" s="2">
        <v>115.4</v>
      </c>
    </row>
    <row r="48" spans="1:30" ht="15" thickBot="1" x14ac:dyDescent="0.4">
      <c r="A48" s="1" t="s">
        <v>33</v>
      </c>
      <c r="B48" s="2">
        <v>2014</v>
      </c>
      <c r="C48" s="1" t="s">
        <v>37</v>
      </c>
      <c r="D48" s="2">
        <v>122.5</v>
      </c>
      <c r="E48" s="2">
        <v>121.7</v>
      </c>
      <c r="F48" s="2">
        <v>113.3</v>
      </c>
      <c r="G48" s="2">
        <v>117</v>
      </c>
      <c r="H48" s="2">
        <v>103.1</v>
      </c>
      <c r="I48" s="2">
        <v>126.7</v>
      </c>
      <c r="J48" s="2">
        <v>121.2</v>
      </c>
      <c r="K48" s="2">
        <v>111</v>
      </c>
      <c r="L48" s="2">
        <v>100.3</v>
      </c>
      <c r="M48" s="2">
        <v>115.3</v>
      </c>
      <c r="N48" s="2">
        <v>112.7</v>
      </c>
      <c r="O48" s="2">
        <v>121</v>
      </c>
      <c r="P48" s="2">
        <v>118.2</v>
      </c>
      <c r="Q48" s="2">
        <v>117.6</v>
      </c>
      <c r="R48" s="2">
        <v>116.3</v>
      </c>
      <c r="S48" s="2">
        <v>112.5</v>
      </c>
      <c r="T48" s="2">
        <v>115.7</v>
      </c>
      <c r="U48" s="2">
        <v>113.9</v>
      </c>
      <c r="V48" s="2">
        <v>110.9</v>
      </c>
      <c r="W48" s="2">
        <v>113.4</v>
      </c>
      <c r="X48" s="2">
        <v>111</v>
      </c>
      <c r="Y48" s="2">
        <v>111.2</v>
      </c>
      <c r="Z48" s="2">
        <v>111.2</v>
      </c>
      <c r="AA48" s="2">
        <v>112.5</v>
      </c>
      <c r="AB48" s="2">
        <v>109.1</v>
      </c>
      <c r="AC48" s="2">
        <v>111.4</v>
      </c>
      <c r="AD48" s="2">
        <v>114.7</v>
      </c>
    </row>
    <row r="49" spans="1:30" ht="26.5" thickBot="1" x14ac:dyDescent="0.4">
      <c r="A49" s="1" t="s">
        <v>34</v>
      </c>
      <c r="B49" s="2">
        <v>2014</v>
      </c>
      <c r="C49" s="1" t="s">
        <v>37</v>
      </c>
      <c r="D49" s="2">
        <v>120.9</v>
      </c>
      <c r="E49" s="2">
        <v>119.9</v>
      </c>
      <c r="F49" s="2">
        <v>116.2</v>
      </c>
      <c r="G49" s="2">
        <v>117</v>
      </c>
      <c r="H49" s="2">
        <v>107.3</v>
      </c>
      <c r="I49" s="2">
        <v>126.1</v>
      </c>
      <c r="J49" s="2">
        <v>120.7</v>
      </c>
      <c r="K49" s="2">
        <v>111</v>
      </c>
      <c r="L49" s="2">
        <v>101.8</v>
      </c>
      <c r="M49" s="2">
        <v>112.6</v>
      </c>
      <c r="N49" s="2">
        <v>113.2</v>
      </c>
      <c r="O49" s="2">
        <v>119.8</v>
      </c>
      <c r="P49" s="2">
        <v>117.6</v>
      </c>
      <c r="Q49" s="2">
        <v>116</v>
      </c>
      <c r="R49" s="2">
        <v>117.4</v>
      </c>
      <c r="S49" s="2">
        <v>114.6</v>
      </c>
      <c r="T49" s="2">
        <v>117</v>
      </c>
      <c r="U49" s="2">
        <v>113.9</v>
      </c>
      <c r="V49" s="2">
        <v>112.5</v>
      </c>
      <c r="W49" s="2">
        <v>113.6</v>
      </c>
      <c r="X49" s="2">
        <v>111.5</v>
      </c>
      <c r="Y49" s="2">
        <v>111.2</v>
      </c>
      <c r="Z49" s="2">
        <v>110.9</v>
      </c>
      <c r="AA49" s="2">
        <v>112.7</v>
      </c>
      <c r="AB49" s="2">
        <v>109</v>
      </c>
      <c r="AC49" s="2">
        <v>111.5</v>
      </c>
      <c r="AD49" s="2">
        <v>115.1</v>
      </c>
    </row>
    <row r="50" spans="1:30" ht="15" thickBot="1" x14ac:dyDescent="0.4">
      <c r="A50" s="1" t="s">
        <v>30</v>
      </c>
      <c r="B50" s="2">
        <v>2014</v>
      </c>
      <c r="C50" s="1" t="s">
        <v>38</v>
      </c>
      <c r="D50" s="2">
        <v>120.3</v>
      </c>
      <c r="E50" s="2">
        <v>120.2</v>
      </c>
      <c r="F50" s="2">
        <v>116.9</v>
      </c>
      <c r="G50" s="2">
        <v>118</v>
      </c>
      <c r="H50" s="2">
        <v>110.1</v>
      </c>
      <c r="I50" s="2">
        <v>126.3</v>
      </c>
      <c r="J50" s="2">
        <v>123.9</v>
      </c>
      <c r="K50" s="2">
        <v>111.5</v>
      </c>
      <c r="L50" s="2">
        <v>103.5</v>
      </c>
      <c r="M50" s="2">
        <v>111.6</v>
      </c>
      <c r="N50" s="2">
        <v>114.2</v>
      </c>
      <c r="O50" s="2">
        <v>119.2</v>
      </c>
      <c r="P50" s="2">
        <v>118.2</v>
      </c>
      <c r="Q50" s="2">
        <v>116.3</v>
      </c>
      <c r="R50" s="2">
        <v>118.7</v>
      </c>
      <c r="S50" s="2">
        <v>116.8</v>
      </c>
      <c r="T50" s="2">
        <v>118.5</v>
      </c>
      <c r="U50" s="1" t="s">
        <v>32</v>
      </c>
      <c r="V50" s="2">
        <v>113.4</v>
      </c>
      <c r="W50" s="2">
        <v>114.1</v>
      </c>
      <c r="X50" s="2">
        <v>112.1</v>
      </c>
      <c r="Y50" s="2">
        <v>111.4</v>
      </c>
      <c r="Z50" s="2">
        <v>110.9</v>
      </c>
      <c r="AA50" s="2">
        <v>113.1</v>
      </c>
      <c r="AB50" s="2">
        <v>108.9</v>
      </c>
      <c r="AC50" s="2">
        <v>111.8</v>
      </c>
      <c r="AD50" s="2">
        <v>116</v>
      </c>
    </row>
    <row r="51" spans="1:30" ht="15" thickBot="1" x14ac:dyDescent="0.4">
      <c r="A51" s="1" t="s">
        <v>33</v>
      </c>
      <c r="B51" s="2">
        <v>2014</v>
      </c>
      <c r="C51" s="1" t="s">
        <v>38</v>
      </c>
      <c r="D51" s="2">
        <v>122.7</v>
      </c>
      <c r="E51" s="2">
        <v>124.1</v>
      </c>
      <c r="F51" s="2">
        <v>114.2</v>
      </c>
      <c r="G51" s="2">
        <v>119.1</v>
      </c>
      <c r="H51" s="2">
        <v>103.5</v>
      </c>
      <c r="I51" s="2">
        <v>129.19999999999999</v>
      </c>
      <c r="J51" s="2">
        <v>127</v>
      </c>
      <c r="K51" s="2">
        <v>112.6</v>
      </c>
      <c r="L51" s="2">
        <v>101.3</v>
      </c>
      <c r="M51" s="2">
        <v>117</v>
      </c>
      <c r="N51" s="2">
        <v>112.9</v>
      </c>
      <c r="O51" s="2">
        <v>121.7</v>
      </c>
      <c r="P51" s="2">
        <v>120</v>
      </c>
      <c r="Q51" s="2">
        <v>118.3</v>
      </c>
      <c r="R51" s="2">
        <v>116.8</v>
      </c>
      <c r="S51" s="2">
        <v>112.9</v>
      </c>
      <c r="T51" s="2">
        <v>116.2</v>
      </c>
      <c r="U51" s="2">
        <v>114.3</v>
      </c>
      <c r="V51" s="2">
        <v>111.1</v>
      </c>
      <c r="W51" s="2">
        <v>114.1</v>
      </c>
      <c r="X51" s="2">
        <v>111.2</v>
      </c>
      <c r="Y51" s="2">
        <v>111.3</v>
      </c>
      <c r="Z51" s="2">
        <v>111.5</v>
      </c>
      <c r="AA51" s="2">
        <v>112.9</v>
      </c>
      <c r="AB51" s="2">
        <v>109.3</v>
      </c>
      <c r="AC51" s="2">
        <v>111.7</v>
      </c>
      <c r="AD51" s="2">
        <v>115.6</v>
      </c>
    </row>
    <row r="52" spans="1:30" ht="26.5" thickBot="1" x14ac:dyDescent="0.4">
      <c r="A52" s="1" t="s">
        <v>34</v>
      </c>
      <c r="B52" s="2">
        <v>2014</v>
      </c>
      <c r="C52" s="1" t="s">
        <v>38</v>
      </c>
      <c r="D52" s="2">
        <v>121.1</v>
      </c>
      <c r="E52" s="2">
        <v>121.6</v>
      </c>
      <c r="F52" s="2">
        <v>115.9</v>
      </c>
      <c r="G52" s="2">
        <v>118.4</v>
      </c>
      <c r="H52" s="2">
        <v>107.7</v>
      </c>
      <c r="I52" s="2">
        <v>127.7</v>
      </c>
      <c r="J52" s="2">
        <v>125</v>
      </c>
      <c r="K52" s="2">
        <v>111.9</v>
      </c>
      <c r="L52" s="2">
        <v>102.8</v>
      </c>
      <c r="M52" s="2">
        <v>113.4</v>
      </c>
      <c r="N52" s="2">
        <v>113.7</v>
      </c>
      <c r="O52" s="2">
        <v>120.4</v>
      </c>
      <c r="P52" s="2">
        <v>118.9</v>
      </c>
      <c r="Q52" s="2">
        <v>116.8</v>
      </c>
      <c r="R52" s="2">
        <v>118</v>
      </c>
      <c r="S52" s="2">
        <v>115.2</v>
      </c>
      <c r="T52" s="2">
        <v>117.6</v>
      </c>
      <c r="U52" s="2">
        <v>114.3</v>
      </c>
      <c r="V52" s="2">
        <v>112.5</v>
      </c>
      <c r="W52" s="2">
        <v>114.1</v>
      </c>
      <c r="X52" s="2">
        <v>111.8</v>
      </c>
      <c r="Y52" s="2">
        <v>111.3</v>
      </c>
      <c r="Z52" s="2">
        <v>111.2</v>
      </c>
      <c r="AA52" s="2">
        <v>113</v>
      </c>
      <c r="AB52" s="2">
        <v>109.1</v>
      </c>
      <c r="AC52" s="2">
        <v>111.8</v>
      </c>
      <c r="AD52" s="2">
        <v>115.8</v>
      </c>
    </row>
    <row r="53" spans="1:30" ht="15" thickBot="1" x14ac:dyDescent="0.4">
      <c r="A53" s="1" t="s">
        <v>30</v>
      </c>
      <c r="B53" s="2">
        <v>2014</v>
      </c>
      <c r="C53" s="1" t="s">
        <v>39</v>
      </c>
      <c r="D53" s="2">
        <v>120.7</v>
      </c>
      <c r="E53" s="2">
        <v>121.6</v>
      </c>
      <c r="F53" s="2">
        <v>116.1</v>
      </c>
      <c r="G53" s="2">
        <v>119.3</v>
      </c>
      <c r="H53" s="2">
        <v>110.3</v>
      </c>
      <c r="I53" s="2">
        <v>125.8</v>
      </c>
      <c r="J53" s="2">
        <v>129.30000000000001</v>
      </c>
      <c r="K53" s="2">
        <v>112.2</v>
      </c>
      <c r="L53" s="2">
        <v>103.6</v>
      </c>
      <c r="M53" s="2">
        <v>112.3</v>
      </c>
      <c r="N53" s="2">
        <v>114.9</v>
      </c>
      <c r="O53" s="2">
        <v>120.1</v>
      </c>
      <c r="P53" s="2">
        <v>119.5</v>
      </c>
      <c r="Q53" s="2">
        <v>117.3</v>
      </c>
      <c r="R53" s="2">
        <v>119.7</v>
      </c>
      <c r="S53" s="2">
        <v>117.3</v>
      </c>
      <c r="T53" s="2">
        <v>119.3</v>
      </c>
      <c r="U53" s="1" t="s">
        <v>32</v>
      </c>
      <c r="V53" s="2">
        <v>114.4</v>
      </c>
      <c r="W53" s="2">
        <v>114.9</v>
      </c>
      <c r="X53" s="2">
        <v>112.8</v>
      </c>
      <c r="Y53" s="2">
        <v>112.2</v>
      </c>
      <c r="Z53" s="2">
        <v>111.4</v>
      </c>
      <c r="AA53" s="2">
        <v>114.3</v>
      </c>
      <c r="AB53" s="2">
        <v>108</v>
      </c>
      <c r="AC53" s="2">
        <v>112.3</v>
      </c>
      <c r="AD53" s="2">
        <v>117</v>
      </c>
    </row>
    <row r="54" spans="1:30" ht="15" thickBot="1" x14ac:dyDescent="0.4">
      <c r="A54" s="1" t="s">
        <v>33</v>
      </c>
      <c r="B54" s="2">
        <v>2014</v>
      </c>
      <c r="C54" s="1" t="s">
        <v>39</v>
      </c>
      <c r="D54" s="2">
        <v>123.1</v>
      </c>
      <c r="E54" s="2">
        <v>125.9</v>
      </c>
      <c r="F54" s="2">
        <v>115.4</v>
      </c>
      <c r="G54" s="2">
        <v>120.4</v>
      </c>
      <c r="H54" s="2">
        <v>103.4</v>
      </c>
      <c r="I54" s="2">
        <v>131.19999999999999</v>
      </c>
      <c r="J54" s="2">
        <v>137.5</v>
      </c>
      <c r="K54" s="2">
        <v>112.8</v>
      </c>
      <c r="L54" s="2">
        <v>101.4</v>
      </c>
      <c r="M54" s="2">
        <v>118.3</v>
      </c>
      <c r="N54" s="2">
        <v>113.2</v>
      </c>
      <c r="O54" s="2">
        <v>122.4</v>
      </c>
      <c r="P54" s="2">
        <v>122</v>
      </c>
      <c r="Q54" s="2">
        <v>119</v>
      </c>
      <c r="R54" s="2">
        <v>117.4</v>
      </c>
      <c r="S54" s="2">
        <v>113.2</v>
      </c>
      <c r="T54" s="2">
        <v>116.7</v>
      </c>
      <c r="U54" s="2">
        <v>113.9</v>
      </c>
      <c r="V54" s="2">
        <v>111.2</v>
      </c>
      <c r="W54" s="2">
        <v>114.3</v>
      </c>
      <c r="X54" s="2">
        <v>111.4</v>
      </c>
      <c r="Y54" s="2">
        <v>111.5</v>
      </c>
      <c r="Z54" s="2">
        <v>111.8</v>
      </c>
      <c r="AA54" s="2">
        <v>115.1</v>
      </c>
      <c r="AB54" s="2">
        <v>108.7</v>
      </c>
      <c r="AC54" s="2">
        <v>112.2</v>
      </c>
      <c r="AD54" s="2">
        <v>116.4</v>
      </c>
    </row>
    <row r="55" spans="1:30" ht="26.5" thickBot="1" x14ac:dyDescent="0.4">
      <c r="A55" s="1" t="s">
        <v>34</v>
      </c>
      <c r="B55" s="2">
        <v>2014</v>
      </c>
      <c r="C55" s="1" t="s">
        <v>39</v>
      </c>
      <c r="D55" s="2">
        <v>121.5</v>
      </c>
      <c r="E55" s="2">
        <v>123.1</v>
      </c>
      <c r="F55" s="2">
        <v>115.8</v>
      </c>
      <c r="G55" s="2">
        <v>119.7</v>
      </c>
      <c r="H55" s="2">
        <v>107.8</v>
      </c>
      <c r="I55" s="2">
        <v>128.30000000000001</v>
      </c>
      <c r="J55" s="2">
        <v>132.1</v>
      </c>
      <c r="K55" s="2">
        <v>112.4</v>
      </c>
      <c r="L55" s="2">
        <v>102.9</v>
      </c>
      <c r="M55" s="2">
        <v>114.3</v>
      </c>
      <c r="N55" s="2">
        <v>114.2</v>
      </c>
      <c r="O55" s="2">
        <v>121.2</v>
      </c>
      <c r="P55" s="2">
        <v>120.4</v>
      </c>
      <c r="Q55" s="2">
        <v>117.8</v>
      </c>
      <c r="R55" s="2">
        <v>118.8</v>
      </c>
      <c r="S55" s="2">
        <v>115.6</v>
      </c>
      <c r="T55" s="2">
        <v>118.3</v>
      </c>
      <c r="U55" s="2">
        <v>113.9</v>
      </c>
      <c r="V55" s="2">
        <v>113.2</v>
      </c>
      <c r="W55" s="2">
        <v>114.6</v>
      </c>
      <c r="X55" s="2">
        <v>112.3</v>
      </c>
      <c r="Y55" s="2">
        <v>111.8</v>
      </c>
      <c r="Z55" s="2">
        <v>111.6</v>
      </c>
      <c r="AA55" s="2">
        <v>114.8</v>
      </c>
      <c r="AB55" s="2">
        <v>108.3</v>
      </c>
      <c r="AC55" s="2">
        <v>112.3</v>
      </c>
      <c r="AD55" s="2">
        <v>116.7</v>
      </c>
    </row>
    <row r="56" spans="1:30" ht="15" thickBot="1" x14ac:dyDescent="0.4">
      <c r="A56" s="1" t="s">
        <v>30</v>
      </c>
      <c r="B56" s="2">
        <v>2014</v>
      </c>
      <c r="C56" s="1" t="s">
        <v>40</v>
      </c>
      <c r="D56" s="2">
        <v>121.7</v>
      </c>
      <c r="E56" s="2">
        <v>122.5</v>
      </c>
      <c r="F56" s="2">
        <v>117.7</v>
      </c>
      <c r="G56" s="2">
        <v>120.6</v>
      </c>
      <c r="H56" s="2">
        <v>110.4</v>
      </c>
      <c r="I56" s="2">
        <v>129.1</v>
      </c>
      <c r="J56" s="2">
        <v>150.1</v>
      </c>
      <c r="K56" s="2">
        <v>113.2</v>
      </c>
      <c r="L56" s="2">
        <v>104.8</v>
      </c>
      <c r="M56" s="2">
        <v>113.3</v>
      </c>
      <c r="N56" s="2">
        <v>115.6</v>
      </c>
      <c r="O56" s="2">
        <v>120.9</v>
      </c>
      <c r="P56" s="2">
        <v>123.3</v>
      </c>
      <c r="Q56" s="2">
        <v>118</v>
      </c>
      <c r="R56" s="2">
        <v>120.7</v>
      </c>
      <c r="S56" s="2">
        <v>118.3</v>
      </c>
      <c r="T56" s="2">
        <v>120.3</v>
      </c>
      <c r="U56" s="1" t="s">
        <v>32</v>
      </c>
      <c r="V56" s="2">
        <v>115.3</v>
      </c>
      <c r="W56" s="2">
        <v>115.4</v>
      </c>
      <c r="X56" s="2">
        <v>113.4</v>
      </c>
      <c r="Y56" s="2">
        <v>113.2</v>
      </c>
      <c r="Z56" s="2">
        <v>111.8</v>
      </c>
      <c r="AA56" s="2">
        <v>115.5</v>
      </c>
      <c r="AB56" s="2">
        <v>108.8</v>
      </c>
      <c r="AC56" s="2">
        <v>113.1</v>
      </c>
      <c r="AD56" s="2">
        <v>119.5</v>
      </c>
    </row>
    <row r="57" spans="1:30" ht="15" thickBot="1" x14ac:dyDescent="0.4">
      <c r="A57" s="1" t="s">
        <v>33</v>
      </c>
      <c r="B57" s="2">
        <v>2014</v>
      </c>
      <c r="C57" s="1" t="s">
        <v>40</v>
      </c>
      <c r="D57" s="2">
        <v>123.8</v>
      </c>
      <c r="E57" s="2">
        <v>126.4</v>
      </c>
      <c r="F57" s="2">
        <v>118</v>
      </c>
      <c r="G57" s="2">
        <v>121.6</v>
      </c>
      <c r="H57" s="2">
        <v>103.5</v>
      </c>
      <c r="I57" s="2">
        <v>133.69999999999999</v>
      </c>
      <c r="J57" s="2">
        <v>172.4</v>
      </c>
      <c r="K57" s="2">
        <v>113.1</v>
      </c>
      <c r="L57" s="2">
        <v>102.7</v>
      </c>
      <c r="M57" s="2">
        <v>120</v>
      </c>
      <c r="N57" s="2">
        <v>113.8</v>
      </c>
      <c r="O57" s="2">
        <v>123.4</v>
      </c>
      <c r="P57" s="2">
        <v>127.1</v>
      </c>
      <c r="Q57" s="2">
        <v>121</v>
      </c>
      <c r="R57" s="2">
        <v>118</v>
      </c>
      <c r="S57" s="2">
        <v>113.6</v>
      </c>
      <c r="T57" s="2">
        <v>117.4</v>
      </c>
      <c r="U57" s="2">
        <v>114.8</v>
      </c>
      <c r="V57" s="2">
        <v>111.6</v>
      </c>
      <c r="W57" s="2">
        <v>114.9</v>
      </c>
      <c r="X57" s="2">
        <v>111.5</v>
      </c>
      <c r="Y57" s="2">
        <v>113</v>
      </c>
      <c r="Z57" s="2">
        <v>112.4</v>
      </c>
      <c r="AA57" s="2">
        <v>117.8</v>
      </c>
      <c r="AB57" s="2">
        <v>109.7</v>
      </c>
      <c r="AC57" s="2">
        <v>113.5</v>
      </c>
      <c r="AD57" s="2">
        <v>118.9</v>
      </c>
    </row>
    <row r="58" spans="1:30" ht="26.5" thickBot="1" x14ac:dyDescent="0.4">
      <c r="A58" s="1" t="s">
        <v>34</v>
      </c>
      <c r="B58" s="2">
        <v>2014</v>
      </c>
      <c r="C58" s="1" t="s">
        <v>40</v>
      </c>
      <c r="D58" s="2">
        <v>122.4</v>
      </c>
      <c r="E58" s="2">
        <v>123.9</v>
      </c>
      <c r="F58" s="2">
        <v>117.8</v>
      </c>
      <c r="G58" s="2">
        <v>121</v>
      </c>
      <c r="H58" s="2">
        <v>107.9</v>
      </c>
      <c r="I58" s="2">
        <v>131.19999999999999</v>
      </c>
      <c r="J58" s="2">
        <v>157.69999999999999</v>
      </c>
      <c r="K58" s="2">
        <v>113.2</v>
      </c>
      <c r="L58" s="2">
        <v>104.1</v>
      </c>
      <c r="M58" s="2">
        <v>115.5</v>
      </c>
      <c r="N58" s="2">
        <v>114.8</v>
      </c>
      <c r="O58" s="2">
        <v>122.1</v>
      </c>
      <c r="P58" s="2">
        <v>124.7</v>
      </c>
      <c r="Q58" s="2">
        <v>118.8</v>
      </c>
      <c r="R58" s="2">
        <v>119.6</v>
      </c>
      <c r="S58" s="2">
        <v>116.3</v>
      </c>
      <c r="T58" s="2">
        <v>119.1</v>
      </c>
      <c r="U58" s="2">
        <v>114.8</v>
      </c>
      <c r="V58" s="2">
        <v>113.9</v>
      </c>
      <c r="W58" s="2">
        <v>115.2</v>
      </c>
      <c r="X58" s="2">
        <v>112.7</v>
      </c>
      <c r="Y58" s="2">
        <v>113.1</v>
      </c>
      <c r="Z58" s="2">
        <v>112.1</v>
      </c>
      <c r="AA58" s="2">
        <v>116.8</v>
      </c>
      <c r="AB58" s="2">
        <v>109.2</v>
      </c>
      <c r="AC58" s="2">
        <v>113.3</v>
      </c>
      <c r="AD58" s="2">
        <v>119.2</v>
      </c>
    </row>
    <row r="59" spans="1:30" ht="15" thickBot="1" x14ac:dyDescent="0.4">
      <c r="A59" s="1" t="s">
        <v>30</v>
      </c>
      <c r="B59" s="2">
        <v>2014</v>
      </c>
      <c r="C59" s="1" t="s">
        <v>41</v>
      </c>
      <c r="D59" s="2">
        <v>121.8</v>
      </c>
      <c r="E59" s="2">
        <v>122.8</v>
      </c>
      <c r="F59" s="2">
        <v>117.8</v>
      </c>
      <c r="G59" s="2">
        <v>121.9</v>
      </c>
      <c r="H59" s="2">
        <v>110.6</v>
      </c>
      <c r="I59" s="2">
        <v>129.69999999999999</v>
      </c>
      <c r="J59" s="2">
        <v>161.1</v>
      </c>
      <c r="K59" s="2">
        <v>114.1</v>
      </c>
      <c r="L59" s="2">
        <v>105.1</v>
      </c>
      <c r="M59" s="2">
        <v>114.6</v>
      </c>
      <c r="N59" s="2">
        <v>115.8</v>
      </c>
      <c r="O59" s="2">
        <v>121.7</v>
      </c>
      <c r="P59" s="2">
        <v>125.3</v>
      </c>
      <c r="Q59" s="2">
        <v>118.8</v>
      </c>
      <c r="R59" s="2">
        <v>120.9</v>
      </c>
      <c r="S59" s="2">
        <v>118.8</v>
      </c>
      <c r="T59" s="2">
        <v>120.7</v>
      </c>
      <c r="U59" s="1" t="s">
        <v>32</v>
      </c>
      <c r="V59" s="2">
        <v>115.4</v>
      </c>
      <c r="W59" s="2">
        <v>115.9</v>
      </c>
      <c r="X59" s="2">
        <v>114</v>
      </c>
      <c r="Y59" s="2">
        <v>113.2</v>
      </c>
      <c r="Z59" s="2">
        <v>112.2</v>
      </c>
      <c r="AA59" s="2">
        <v>116.2</v>
      </c>
      <c r="AB59" s="2">
        <v>109.4</v>
      </c>
      <c r="AC59" s="2">
        <v>113.5</v>
      </c>
      <c r="AD59" s="2">
        <v>120.7</v>
      </c>
    </row>
    <row r="60" spans="1:30" ht="15" thickBot="1" x14ac:dyDescent="0.4">
      <c r="A60" s="1" t="s">
        <v>33</v>
      </c>
      <c r="B60" s="2">
        <v>2014</v>
      </c>
      <c r="C60" s="1" t="s">
        <v>41</v>
      </c>
      <c r="D60" s="2">
        <v>124.8</v>
      </c>
      <c r="E60" s="2">
        <v>127.3</v>
      </c>
      <c r="F60" s="2">
        <v>116.5</v>
      </c>
      <c r="G60" s="2">
        <v>122.2</v>
      </c>
      <c r="H60" s="2">
        <v>103.6</v>
      </c>
      <c r="I60" s="2">
        <v>132.69999999999999</v>
      </c>
      <c r="J60" s="2">
        <v>181.9</v>
      </c>
      <c r="K60" s="2">
        <v>115.2</v>
      </c>
      <c r="L60" s="2">
        <v>102.7</v>
      </c>
      <c r="M60" s="2">
        <v>122.1</v>
      </c>
      <c r="N60" s="2">
        <v>114.4</v>
      </c>
      <c r="O60" s="2">
        <v>124.7</v>
      </c>
      <c r="P60" s="2">
        <v>128.9</v>
      </c>
      <c r="Q60" s="2">
        <v>123</v>
      </c>
      <c r="R60" s="2">
        <v>118.6</v>
      </c>
      <c r="S60" s="2">
        <v>114.1</v>
      </c>
      <c r="T60" s="2">
        <v>117.9</v>
      </c>
      <c r="U60" s="2">
        <v>115.5</v>
      </c>
      <c r="V60" s="2">
        <v>111.8</v>
      </c>
      <c r="W60" s="2">
        <v>115.3</v>
      </c>
      <c r="X60" s="2">
        <v>112.2</v>
      </c>
      <c r="Y60" s="2">
        <v>112.5</v>
      </c>
      <c r="Z60" s="2">
        <v>112.9</v>
      </c>
      <c r="AA60" s="2">
        <v>119.2</v>
      </c>
      <c r="AB60" s="2">
        <v>110.5</v>
      </c>
      <c r="AC60" s="2">
        <v>113.9</v>
      </c>
      <c r="AD60" s="2">
        <v>119.9</v>
      </c>
    </row>
    <row r="61" spans="1:30" ht="26.5" thickBot="1" x14ac:dyDescent="0.4">
      <c r="A61" s="1" t="s">
        <v>34</v>
      </c>
      <c r="B61" s="2">
        <v>2014</v>
      </c>
      <c r="C61" s="1" t="s">
        <v>41</v>
      </c>
      <c r="D61" s="2">
        <v>122.7</v>
      </c>
      <c r="E61" s="2">
        <v>124.4</v>
      </c>
      <c r="F61" s="2">
        <v>117.3</v>
      </c>
      <c r="G61" s="2">
        <v>122</v>
      </c>
      <c r="H61" s="2">
        <v>108</v>
      </c>
      <c r="I61" s="2">
        <v>131.1</v>
      </c>
      <c r="J61" s="2">
        <v>168.2</v>
      </c>
      <c r="K61" s="2">
        <v>114.5</v>
      </c>
      <c r="L61" s="2">
        <v>104.3</v>
      </c>
      <c r="M61" s="2">
        <v>117.1</v>
      </c>
      <c r="N61" s="2">
        <v>115.2</v>
      </c>
      <c r="O61" s="2">
        <v>123.1</v>
      </c>
      <c r="P61" s="2">
        <v>126.6</v>
      </c>
      <c r="Q61" s="2">
        <v>119.9</v>
      </c>
      <c r="R61" s="2">
        <v>120</v>
      </c>
      <c r="S61" s="2">
        <v>116.8</v>
      </c>
      <c r="T61" s="2">
        <v>119.6</v>
      </c>
      <c r="U61" s="2">
        <v>115.5</v>
      </c>
      <c r="V61" s="2">
        <v>114</v>
      </c>
      <c r="W61" s="2">
        <v>115.6</v>
      </c>
      <c r="X61" s="2">
        <v>113.3</v>
      </c>
      <c r="Y61" s="2">
        <v>112.8</v>
      </c>
      <c r="Z61" s="2">
        <v>112.6</v>
      </c>
      <c r="AA61" s="2">
        <v>118</v>
      </c>
      <c r="AB61" s="2">
        <v>109.9</v>
      </c>
      <c r="AC61" s="2">
        <v>113.7</v>
      </c>
      <c r="AD61" s="2">
        <v>120.3</v>
      </c>
    </row>
    <row r="62" spans="1:30" ht="26.5" thickBot="1" x14ac:dyDescent="0.4">
      <c r="A62" s="1" t="s">
        <v>30</v>
      </c>
      <c r="B62" s="2">
        <v>2014</v>
      </c>
      <c r="C62" s="1" t="s">
        <v>42</v>
      </c>
      <c r="D62" s="2">
        <v>122.3</v>
      </c>
      <c r="E62" s="2">
        <v>122.4</v>
      </c>
      <c r="F62" s="2">
        <v>117.8</v>
      </c>
      <c r="G62" s="2">
        <v>122.7</v>
      </c>
      <c r="H62" s="2">
        <v>110.4</v>
      </c>
      <c r="I62" s="2">
        <v>129.80000000000001</v>
      </c>
      <c r="J62" s="2">
        <v>158.80000000000001</v>
      </c>
      <c r="K62" s="2">
        <v>115</v>
      </c>
      <c r="L62" s="2">
        <v>104.7</v>
      </c>
      <c r="M62" s="2">
        <v>114.9</v>
      </c>
      <c r="N62" s="2">
        <v>116.5</v>
      </c>
      <c r="O62" s="2">
        <v>122.6</v>
      </c>
      <c r="P62" s="2">
        <v>125.3</v>
      </c>
      <c r="Q62" s="2">
        <v>119.5</v>
      </c>
      <c r="R62" s="2">
        <v>121.7</v>
      </c>
      <c r="S62" s="2">
        <v>119.2</v>
      </c>
      <c r="T62" s="2">
        <v>121.3</v>
      </c>
      <c r="U62" s="1" t="s">
        <v>32</v>
      </c>
      <c r="V62" s="2">
        <v>115.8</v>
      </c>
      <c r="W62" s="2">
        <v>116.7</v>
      </c>
      <c r="X62" s="2">
        <v>114.5</v>
      </c>
      <c r="Y62" s="2">
        <v>112.8</v>
      </c>
      <c r="Z62" s="2">
        <v>112.6</v>
      </c>
      <c r="AA62" s="2">
        <v>116.6</v>
      </c>
      <c r="AB62" s="2">
        <v>109.1</v>
      </c>
      <c r="AC62" s="2">
        <v>113.7</v>
      </c>
      <c r="AD62" s="2">
        <v>120.9</v>
      </c>
    </row>
    <row r="63" spans="1:30" ht="26.5" thickBot="1" x14ac:dyDescent="0.4">
      <c r="A63" s="1" t="s">
        <v>33</v>
      </c>
      <c r="B63" s="2">
        <v>2014</v>
      </c>
      <c r="C63" s="1" t="s">
        <v>42</v>
      </c>
      <c r="D63" s="2">
        <v>124.2</v>
      </c>
      <c r="E63" s="2">
        <v>125.4</v>
      </c>
      <c r="F63" s="2">
        <v>116.4</v>
      </c>
      <c r="G63" s="2">
        <v>122.7</v>
      </c>
      <c r="H63" s="2">
        <v>103.5</v>
      </c>
      <c r="I63" s="2">
        <v>124.5</v>
      </c>
      <c r="J63" s="2">
        <v>168.6</v>
      </c>
      <c r="K63" s="2">
        <v>116.9</v>
      </c>
      <c r="L63" s="2">
        <v>101.9</v>
      </c>
      <c r="M63" s="2">
        <v>122.9</v>
      </c>
      <c r="N63" s="2">
        <v>114.8</v>
      </c>
      <c r="O63" s="2">
        <v>125.2</v>
      </c>
      <c r="P63" s="2">
        <v>126.7</v>
      </c>
      <c r="Q63" s="2">
        <v>124.3</v>
      </c>
      <c r="R63" s="2">
        <v>119.2</v>
      </c>
      <c r="S63" s="2">
        <v>114.5</v>
      </c>
      <c r="T63" s="2">
        <v>118.4</v>
      </c>
      <c r="U63" s="2">
        <v>116.1</v>
      </c>
      <c r="V63" s="2">
        <v>111.8</v>
      </c>
      <c r="W63" s="2">
        <v>115.5</v>
      </c>
      <c r="X63" s="2">
        <v>112.3</v>
      </c>
      <c r="Y63" s="2">
        <v>111.2</v>
      </c>
      <c r="Z63" s="2">
        <v>113.4</v>
      </c>
      <c r="AA63" s="2">
        <v>120</v>
      </c>
      <c r="AB63" s="2">
        <v>110</v>
      </c>
      <c r="AC63" s="2">
        <v>113.6</v>
      </c>
      <c r="AD63" s="2">
        <v>119.2</v>
      </c>
    </row>
    <row r="64" spans="1:30" ht="26.5" thickBot="1" x14ac:dyDescent="0.4">
      <c r="A64" s="1" t="s">
        <v>34</v>
      </c>
      <c r="B64" s="2">
        <v>2014</v>
      </c>
      <c r="C64" s="1" t="s">
        <v>42</v>
      </c>
      <c r="D64" s="2">
        <v>122.9</v>
      </c>
      <c r="E64" s="2">
        <v>123.5</v>
      </c>
      <c r="F64" s="2">
        <v>117.3</v>
      </c>
      <c r="G64" s="2">
        <v>122.7</v>
      </c>
      <c r="H64" s="2">
        <v>107.9</v>
      </c>
      <c r="I64" s="2">
        <v>127.3</v>
      </c>
      <c r="J64" s="2">
        <v>162.1</v>
      </c>
      <c r="K64" s="2">
        <v>115.6</v>
      </c>
      <c r="L64" s="2">
        <v>103.8</v>
      </c>
      <c r="M64" s="2">
        <v>117.6</v>
      </c>
      <c r="N64" s="2">
        <v>115.8</v>
      </c>
      <c r="O64" s="2">
        <v>123.8</v>
      </c>
      <c r="P64" s="2">
        <v>125.8</v>
      </c>
      <c r="Q64" s="2">
        <v>120.8</v>
      </c>
      <c r="R64" s="2">
        <v>120.7</v>
      </c>
      <c r="S64" s="2">
        <v>117.2</v>
      </c>
      <c r="T64" s="2">
        <v>120.1</v>
      </c>
      <c r="U64" s="2">
        <v>116.1</v>
      </c>
      <c r="V64" s="2">
        <v>114.3</v>
      </c>
      <c r="W64" s="2">
        <v>116.1</v>
      </c>
      <c r="X64" s="2">
        <v>113.7</v>
      </c>
      <c r="Y64" s="2">
        <v>112</v>
      </c>
      <c r="Z64" s="2">
        <v>113.1</v>
      </c>
      <c r="AA64" s="2">
        <v>118.6</v>
      </c>
      <c r="AB64" s="2">
        <v>109.5</v>
      </c>
      <c r="AC64" s="2">
        <v>113.7</v>
      </c>
      <c r="AD64" s="2">
        <v>120.1</v>
      </c>
    </row>
    <row r="65" spans="1:30" ht="15" thickBot="1" x14ac:dyDescent="0.4">
      <c r="A65" s="1" t="s">
        <v>30</v>
      </c>
      <c r="B65" s="2">
        <v>2014</v>
      </c>
      <c r="C65" s="1" t="s">
        <v>43</v>
      </c>
      <c r="D65" s="2">
        <v>122.6</v>
      </c>
      <c r="E65" s="2">
        <v>122.5</v>
      </c>
      <c r="F65" s="2">
        <v>118.3</v>
      </c>
      <c r="G65" s="2">
        <v>123.2</v>
      </c>
      <c r="H65" s="2">
        <v>110.5</v>
      </c>
      <c r="I65" s="2">
        <v>128.9</v>
      </c>
      <c r="J65" s="2">
        <v>155.30000000000001</v>
      </c>
      <c r="K65" s="2">
        <v>115.5</v>
      </c>
      <c r="L65" s="2">
        <v>104</v>
      </c>
      <c r="M65" s="2">
        <v>115.3</v>
      </c>
      <c r="N65" s="2">
        <v>116.8</v>
      </c>
      <c r="O65" s="2">
        <v>123.2</v>
      </c>
      <c r="P65" s="2">
        <v>125.1</v>
      </c>
      <c r="Q65" s="2">
        <v>120</v>
      </c>
      <c r="R65" s="2">
        <v>122.7</v>
      </c>
      <c r="S65" s="2">
        <v>120.3</v>
      </c>
      <c r="T65" s="2">
        <v>122.3</v>
      </c>
      <c r="U65" s="1" t="s">
        <v>32</v>
      </c>
      <c r="V65" s="2">
        <v>116.4</v>
      </c>
      <c r="W65" s="2">
        <v>117.5</v>
      </c>
      <c r="X65" s="2">
        <v>115.3</v>
      </c>
      <c r="Y65" s="2">
        <v>112.6</v>
      </c>
      <c r="Z65" s="2">
        <v>113</v>
      </c>
      <c r="AA65" s="2">
        <v>116.9</v>
      </c>
      <c r="AB65" s="2">
        <v>109.3</v>
      </c>
      <c r="AC65" s="2">
        <v>114</v>
      </c>
      <c r="AD65" s="2">
        <v>121</v>
      </c>
    </row>
    <row r="66" spans="1:30" ht="15" thickBot="1" x14ac:dyDescent="0.4">
      <c r="A66" s="1" t="s">
        <v>33</v>
      </c>
      <c r="B66" s="2">
        <v>2014</v>
      </c>
      <c r="C66" s="1" t="s">
        <v>43</v>
      </c>
      <c r="D66" s="2">
        <v>124.6</v>
      </c>
      <c r="E66" s="2">
        <v>126.1</v>
      </c>
      <c r="F66" s="2">
        <v>117.8</v>
      </c>
      <c r="G66" s="2">
        <v>123.1</v>
      </c>
      <c r="H66" s="2">
        <v>103.5</v>
      </c>
      <c r="I66" s="2">
        <v>123.5</v>
      </c>
      <c r="J66" s="2">
        <v>159.6</v>
      </c>
      <c r="K66" s="2">
        <v>117.4</v>
      </c>
      <c r="L66" s="2">
        <v>101.2</v>
      </c>
      <c r="M66" s="2">
        <v>123.8</v>
      </c>
      <c r="N66" s="2">
        <v>115.2</v>
      </c>
      <c r="O66" s="2">
        <v>125.9</v>
      </c>
      <c r="P66" s="2">
        <v>125.8</v>
      </c>
      <c r="Q66" s="2">
        <v>124.3</v>
      </c>
      <c r="R66" s="2">
        <v>119.6</v>
      </c>
      <c r="S66" s="2">
        <v>114.9</v>
      </c>
      <c r="T66" s="2">
        <v>118.9</v>
      </c>
      <c r="U66" s="2">
        <v>116.7</v>
      </c>
      <c r="V66" s="2">
        <v>112</v>
      </c>
      <c r="W66" s="2">
        <v>115.8</v>
      </c>
      <c r="X66" s="2">
        <v>112.6</v>
      </c>
      <c r="Y66" s="2">
        <v>111</v>
      </c>
      <c r="Z66" s="2">
        <v>113.6</v>
      </c>
      <c r="AA66" s="2">
        <v>120.2</v>
      </c>
      <c r="AB66" s="2">
        <v>110.1</v>
      </c>
      <c r="AC66" s="2">
        <v>113.7</v>
      </c>
      <c r="AD66" s="2">
        <v>119.1</v>
      </c>
    </row>
    <row r="67" spans="1:30" ht="26.5" thickBot="1" x14ac:dyDescent="0.4">
      <c r="A67" s="1" t="s">
        <v>34</v>
      </c>
      <c r="B67" s="2">
        <v>2014</v>
      </c>
      <c r="C67" s="1" t="s">
        <v>43</v>
      </c>
      <c r="D67" s="2">
        <v>123.2</v>
      </c>
      <c r="E67" s="2">
        <v>123.8</v>
      </c>
      <c r="F67" s="2">
        <v>118.1</v>
      </c>
      <c r="G67" s="2">
        <v>123.2</v>
      </c>
      <c r="H67" s="2">
        <v>107.9</v>
      </c>
      <c r="I67" s="2">
        <v>126.4</v>
      </c>
      <c r="J67" s="2">
        <v>156.80000000000001</v>
      </c>
      <c r="K67" s="2">
        <v>116.1</v>
      </c>
      <c r="L67" s="2">
        <v>103.1</v>
      </c>
      <c r="M67" s="2">
        <v>118.1</v>
      </c>
      <c r="N67" s="2">
        <v>116.1</v>
      </c>
      <c r="O67" s="2">
        <v>124.5</v>
      </c>
      <c r="P67" s="2">
        <v>125.4</v>
      </c>
      <c r="Q67" s="2">
        <v>121.1</v>
      </c>
      <c r="R67" s="2">
        <v>121.5</v>
      </c>
      <c r="S67" s="2">
        <v>118.1</v>
      </c>
      <c r="T67" s="2">
        <v>121</v>
      </c>
      <c r="U67" s="2">
        <v>116.7</v>
      </c>
      <c r="V67" s="2">
        <v>114.7</v>
      </c>
      <c r="W67" s="2">
        <v>116.7</v>
      </c>
      <c r="X67" s="2">
        <v>114.3</v>
      </c>
      <c r="Y67" s="2">
        <v>111.8</v>
      </c>
      <c r="Z67" s="2">
        <v>113.3</v>
      </c>
      <c r="AA67" s="2">
        <v>118.8</v>
      </c>
      <c r="AB67" s="2">
        <v>109.6</v>
      </c>
      <c r="AC67" s="2">
        <v>113.9</v>
      </c>
      <c r="AD67" s="2">
        <v>120.1</v>
      </c>
    </row>
    <row r="68" spans="1:30" ht="26.5" thickBot="1" x14ac:dyDescent="0.4">
      <c r="A68" s="1" t="s">
        <v>30</v>
      </c>
      <c r="B68" s="2">
        <v>2014</v>
      </c>
      <c r="C68" s="1" t="s">
        <v>44</v>
      </c>
      <c r="D68" s="2">
        <v>122.7</v>
      </c>
      <c r="E68" s="2">
        <v>122.6</v>
      </c>
      <c r="F68" s="2">
        <v>119.9</v>
      </c>
      <c r="G68" s="2">
        <v>124</v>
      </c>
      <c r="H68" s="2">
        <v>110.5</v>
      </c>
      <c r="I68" s="2">
        <v>128.80000000000001</v>
      </c>
      <c r="J68" s="2">
        <v>152</v>
      </c>
      <c r="K68" s="2">
        <v>116.2</v>
      </c>
      <c r="L68" s="2">
        <v>103.3</v>
      </c>
      <c r="M68" s="2">
        <v>115.8</v>
      </c>
      <c r="N68" s="2">
        <v>116.8</v>
      </c>
      <c r="O68" s="2">
        <v>124.5</v>
      </c>
      <c r="P68" s="2">
        <v>124.9</v>
      </c>
      <c r="Q68" s="2">
        <v>120.8</v>
      </c>
      <c r="R68" s="2">
        <v>123.3</v>
      </c>
      <c r="S68" s="2">
        <v>120.5</v>
      </c>
      <c r="T68" s="2">
        <v>122.9</v>
      </c>
      <c r="U68" s="1" t="s">
        <v>32</v>
      </c>
      <c r="V68" s="2">
        <v>117.3</v>
      </c>
      <c r="W68" s="2">
        <v>118.1</v>
      </c>
      <c r="X68" s="2">
        <v>115.9</v>
      </c>
      <c r="Y68" s="2">
        <v>112</v>
      </c>
      <c r="Z68" s="2">
        <v>113.3</v>
      </c>
      <c r="AA68" s="2">
        <v>117.2</v>
      </c>
      <c r="AB68" s="2">
        <v>108.8</v>
      </c>
      <c r="AC68" s="2">
        <v>114.1</v>
      </c>
      <c r="AD68" s="2">
        <v>121.1</v>
      </c>
    </row>
    <row r="69" spans="1:30" ht="26.5" thickBot="1" x14ac:dyDescent="0.4">
      <c r="A69" s="1" t="s">
        <v>33</v>
      </c>
      <c r="B69" s="2">
        <v>2014</v>
      </c>
      <c r="C69" s="1" t="s">
        <v>44</v>
      </c>
      <c r="D69" s="2">
        <v>124.5</v>
      </c>
      <c r="E69" s="2">
        <v>125.6</v>
      </c>
      <c r="F69" s="2">
        <v>122.7</v>
      </c>
      <c r="G69" s="2">
        <v>124.6</v>
      </c>
      <c r="H69" s="2">
        <v>103.2</v>
      </c>
      <c r="I69" s="2">
        <v>122.2</v>
      </c>
      <c r="J69" s="2">
        <v>153.19999999999999</v>
      </c>
      <c r="K69" s="2">
        <v>119.3</v>
      </c>
      <c r="L69" s="2">
        <v>99.8</v>
      </c>
      <c r="M69" s="2">
        <v>124.6</v>
      </c>
      <c r="N69" s="2">
        <v>115.8</v>
      </c>
      <c r="O69" s="2">
        <v>126.9</v>
      </c>
      <c r="P69" s="2">
        <v>125.4</v>
      </c>
      <c r="Q69" s="2">
        <v>125.8</v>
      </c>
      <c r="R69" s="2">
        <v>120.3</v>
      </c>
      <c r="S69" s="2">
        <v>115.4</v>
      </c>
      <c r="T69" s="2">
        <v>119.5</v>
      </c>
      <c r="U69" s="2">
        <v>117.1</v>
      </c>
      <c r="V69" s="2">
        <v>112.6</v>
      </c>
      <c r="W69" s="2">
        <v>116.4</v>
      </c>
      <c r="X69" s="2">
        <v>113</v>
      </c>
      <c r="Y69" s="2">
        <v>109.7</v>
      </c>
      <c r="Z69" s="2">
        <v>114</v>
      </c>
      <c r="AA69" s="2">
        <v>120.3</v>
      </c>
      <c r="AB69" s="2">
        <v>109.6</v>
      </c>
      <c r="AC69" s="2">
        <v>113.4</v>
      </c>
      <c r="AD69" s="2">
        <v>119</v>
      </c>
    </row>
    <row r="70" spans="1:30" ht="26.5" thickBot="1" x14ac:dyDescent="0.4">
      <c r="A70" s="1" t="s">
        <v>34</v>
      </c>
      <c r="B70" s="2">
        <v>2014</v>
      </c>
      <c r="C70" s="1" t="s">
        <v>44</v>
      </c>
      <c r="D70" s="2">
        <v>123.3</v>
      </c>
      <c r="E70" s="2">
        <v>123.7</v>
      </c>
      <c r="F70" s="2">
        <v>121</v>
      </c>
      <c r="G70" s="2">
        <v>124.2</v>
      </c>
      <c r="H70" s="2">
        <v>107.8</v>
      </c>
      <c r="I70" s="2">
        <v>125.7</v>
      </c>
      <c r="J70" s="2">
        <v>152.4</v>
      </c>
      <c r="K70" s="2">
        <v>117.2</v>
      </c>
      <c r="L70" s="2">
        <v>102.1</v>
      </c>
      <c r="M70" s="2">
        <v>118.7</v>
      </c>
      <c r="N70" s="2">
        <v>116.4</v>
      </c>
      <c r="O70" s="2">
        <v>125.6</v>
      </c>
      <c r="P70" s="2">
        <v>125.1</v>
      </c>
      <c r="Q70" s="2">
        <v>122.1</v>
      </c>
      <c r="R70" s="2">
        <v>122.1</v>
      </c>
      <c r="S70" s="2">
        <v>118.4</v>
      </c>
      <c r="T70" s="2">
        <v>121.6</v>
      </c>
      <c r="U70" s="2">
        <v>117.1</v>
      </c>
      <c r="V70" s="2">
        <v>115.5</v>
      </c>
      <c r="W70" s="2">
        <v>117.3</v>
      </c>
      <c r="X70" s="2">
        <v>114.8</v>
      </c>
      <c r="Y70" s="2">
        <v>110.8</v>
      </c>
      <c r="Z70" s="2">
        <v>113.7</v>
      </c>
      <c r="AA70" s="2">
        <v>119</v>
      </c>
      <c r="AB70" s="2">
        <v>109.1</v>
      </c>
      <c r="AC70" s="2">
        <v>113.8</v>
      </c>
      <c r="AD70" s="2">
        <v>120.1</v>
      </c>
    </row>
    <row r="71" spans="1:30" ht="26.5" thickBot="1" x14ac:dyDescent="0.4">
      <c r="A71" s="1" t="s">
        <v>30</v>
      </c>
      <c r="B71" s="2">
        <v>2014</v>
      </c>
      <c r="C71" s="1" t="s">
        <v>45</v>
      </c>
      <c r="D71" s="2">
        <v>122.4</v>
      </c>
      <c r="E71" s="2">
        <v>122.4</v>
      </c>
      <c r="F71" s="2">
        <v>121.8</v>
      </c>
      <c r="G71" s="2">
        <v>124.2</v>
      </c>
      <c r="H71" s="2">
        <v>110.2</v>
      </c>
      <c r="I71" s="2">
        <v>128.6</v>
      </c>
      <c r="J71" s="2">
        <v>140.30000000000001</v>
      </c>
      <c r="K71" s="2">
        <v>116.3</v>
      </c>
      <c r="L71" s="2">
        <v>102</v>
      </c>
      <c r="M71" s="2">
        <v>116</v>
      </c>
      <c r="N71" s="2">
        <v>117.3</v>
      </c>
      <c r="O71" s="2">
        <v>124.8</v>
      </c>
      <c r="P71" s="2">
        <v>123.3</v>
      </c>
      <c r="Q71" s="2">
        <v>121.7</v>
      </c>
      <c r="R71" s="2">
        <v>123.8</v>
      </c>
      <c r="S71" s="2">
        <v>120.6</v>
      </c>
      <c r="T71" s="2">
        <v>123.3</v>
      </c>
      <c r="U71" s="1" t="s">
        <v>32</v>
      </c>
      <c r="V71" s="2">
        <v>117.4</v>
      </c>
      <c r="W71" s="2">
        <v>118.2</v>
      </c>
      <c r="X71" s="2">
        <v>116.2</v>
      </c>
      <c r="Y71" s="2">
        <v>111.5</v>
      </c>
      <c r="Z71" s="2">
        <v>113.3</v>
      </c>
      <c r="AA71" s="2">
        <v>117.7</v>
      </c>
      <c r="AB71" s="2">
        <v>109.4</v>
      </c>
      <c r="AC71" s="2">
        <v>114.2</v>
      </c>
      <c r="AD71" s="2">
        <v>120.3</v>
      </c>
    </row>
    <row r="72" spans="1:30" ht="26.5" thickBot="1" x14ac:dyDescent="0.4">
      <c r="A72" s="1" t="s">
        <v>33</v>
      </c>
      <c r="B72" s="2">
        <v>2014</v>
      </c>
      <c r="C72" s="1" t="s">
        <v>45</v>
      </c>
      <c r="D72" s="2">
        <v>124</v>
      </c>
      <c r="E72" s="2">
        <v>124.7</v>
      </c>
      <c r="F72" s="2">
        <v>126.3</v>
      </c>
      <c r="G72" s="2">
        <v>124.9</v>
      </c>
      <c r="H72" s="2">
        <v>103</v>
      </c>
      <c r="I72" s="2">
        <v>122.3</v>
      </c>
      <c r="J72" s="2">
        <v>141</v>
      </c>
      <c r="K72" s="2">
        <v>120.1</v>
      </c>
      <c r="L72" s="2">
        <v>97.8</v>
      </c>
      <c r="M72" s="2">
        <v>125.4</v>
      </c>
      <c r="N72" s="2">
        <v>116.1</v>
      </c>
      <c r="O72" s="2">
        <v>127.6</v>
      </c>
      <c r="P72" s="2">
        <v>124</v>
      </c>
      <c r="Q72" s="2">
        <v>126.4</v>
      </c>
      <c r="R72" s="2">
        <v>120.7</v>
      </c>
      <c r="S72" s="2">
        <v>115.8</v>
      </c>
      <c r="T72" s="2">
        <v>120</v>
      </c>
      <c r="U72" s="2">
        <v>116.5</v>
      </c>
      <c r="V72" s="2">
        <v>113</v>
      </c>
      <c r="W72" s="2">
        <v>116.8</v>
      </c>
      <c r="X72" s="2">
        <v>113.2</v>
      </c>
      <c r="Y72" s="2">
        <v>108.8</v>
      </c>
      <c r="Z72" s="2">
        <v>114.3</v>
      </c>
      <c r="AA72" s="2">
        <v>120.7</v>
      </c>
      <c r="AB72" s="2">
        <v>110.4</v>
      </c>
      <c r="AC72" s="2">
        <v>113.4</v>
      </c>
      <c r="AD72" s="2">
        <v>118.4</v>
      </c>
    </row>
    <row r="73" spans="1:30" ht="26.5" thickBot="1" x14ac:dyDescent="0.4">
      <c r="A73" s="1" t="s">
        <v>34</v>
      </c>
      <c r="B73" s="2">
        <v>2014</v>
      </c>
      <c r="C73" s="1" t="s">
        <v>45</v>
      </c>
      <c r="D73" s="2">
        <v>122.9</v>
      </c>
      <c r="E73" s="2">
        <v>123.2</v>
      </c>
      <c r="F73" s="2">
        <v>123.5</v>
      </c>
      <c r="G73" s="2">
        <v>124.5</v>
      </c>
      <c r="H73" s="2">
        <v>107.6</v>
      </c>
      <c r="I73" s="2">
        <v>125.7</v>
      </c>
      <c r="J73" s="2">
        <v>140.5</v>
      </c>
      <c r="K73" s="2">
        <v>117.6</v>
      </c>
      <c r="L73" s="2">
        <v>100.6</v>
      </c>
      <c r="M73" s="2">
        <v>119.1</v>
      </c>
      <c r="N73" s="2">
        <v>116.8</v>
      </c>
      <c r="O73" s="2">
        <v>126.1</v>
      </c>
      <c r="P73" s="2">
        <v>123.6</v>
      </c>
      <c r="Q73" s="2">
        <v>123</v>
      </c>
      <c r="R73" s="2">
        <v>122.6</v>
      </c>
      <c r="S73" s="2">
        <v>118.6</v>
      </c>
      <c r="T73" s="2">
        <v>122</v>
      </c>
      <c r="U73" s="2">
        <v>116.5</v>
      </c>
      <c r="V73" s="2">
        <v>115.7</v>
      </c>
      <c r="W73" s="2">
        <v>117.5</v>
      </c>
      <c r="X73" s="2">
        <v>115.1</v>
      </c>
      <c r="Y73" s="2">
        <v>110.1</v>
      </c>
      <c r="Z73" s="2">
        <v>113.9</v>
      </c>
      <c r="AA73" s="2">
        <v>119.5</v>
      </c>
      <c r="AB73" s="2">
        <v>109.8</v>
      </c>
      <c r="AC73" s="2">
        <v>113.8</v>
      </c>
      <c r="AD73" s="2">
        <v>119.4</v>
      </c>
    </row>
    <row r="74" spans="1:30" ht="15" thickBot="1" x14ac:dyDescent="0.4">
      <c r="A74" s="1" t="s">
        <v>30</v>
      </c>
      <c r="B74" s="2">
        <v>2015</v>
      </c>
      <c r="C74" s="1" t="s">
        <v>31</v>
      </c>
      <c r="D74" s="2">
        <v>123.1</v>
      </c>
      <c r="E74" s="2">
        <v>123.1</v>
      </c>
      <c r="F74" s="2">
        <v>122.1</v>
      </c>
      <c r="G74" s="2">
        <v>124.9</v>
      </c>
      <c r="H74" s="2">
        <v>111</v>
      </c>
      <c r="I74" s="2">
        <v>130.4</v>
      </c>
      <c r="J74" s="2">
        <v>132.30000000000001</v>
      </c>
      <c r="K74" s="2">
        <v>117.2</v>
      </c>
      <c r="L74" s="2">
        <v>100.5</v>
      </c>
      <c r="M74" s="2">
        <v>117.2</v>
      </c>
      <c r="N74" s="2">
        <v>117.9</v>
      </c>
      <c r="O74" s="2">
        <v>125.6</v>
      </c>
      <c r="P74" s="2">
        <v>122.8</v>
      </c>
      <c r="Q74" s="2">
        <v>122.7</v>
      </c>
      <c r="R74" s="2">
        <v>124.4</v>
      </c>
      <c r="S74" s="2">
        <v>121.6</v>
      </c>
      <c r="T74" s="2">
        <v>124</v>
      </c>
      <c r="U74" s="1" t="s">
        <v>32</v>
      </c>
      <c r="V74" s="2">
        <v>118.4</v>
      </c>
      <c r="W74" s="2">
        <v>118.9</v>
      </c>
      <c r="X74" s="2">
        <v>116.6</v>
      </c>
      <c r="Y74" s="2">
        <v>111</v>
      </c>
      <c r="Z74" s="2">
        <v>114</v>
      </c>
      <c r="AA74" s="2">
        <v>118.2</v>
      </c>
      <c r="AB74" s="2">
        <v>110.2</v>
      </c>
      <c r="AC74" s="2">
        <v>114.5</v>
      </c>
      <c r="AD74" s="2">
        <v>120.3</v>
      </c>
    </row>
    <row r="75" spans="1:30" ht="15" thickBot="1" x14ac:dyDescent="0.4">
      <c r="A75" s="1" t="s">
        <v>33</v>
      </c>
      <c r="B75" s="2">
        <v>2015</v>
      </c>
      <c r="C75" s="1" t="s">
        <v>31</v>
      </c>
      <c r="D75" s="2">
        <v>124</v>
      </c>
      <c r="E75" s="2">
        <v>125.5</v>
      </c>
      <c r="F75" s="2">
        <v>126.6</v>
      </c>
      <c r="G75" s="2">
        <v>125.2</v>
      </c>
      <c r="H75" s="2">
        <v>104.3</v>
      </c>
      <c r="I75" s="2">
        <v>121.3</v>
      </c>
      <c r="J75" s="2">
        <v>134.4</v>
      </c>
      <c r="K75" s="2">
        <v>122.9</v>
      </c>
      <c r="L75" s="2">
        <v>96.1</v>
      </c>
      <c r="M75" s="2">
        <v>126.6</v>
      </c>
      <c r="N75" s="2">
        <v>116.5</v>
      </c>
      <c r="O75" s="2">
        <v>128</v>
      </c>
      <c r="P75" s="2">
        <v>123.5</v>
      </c>
      <c r="Q75" s="2">
        <v>127.4</v>
      </c>
      <c r="R75" s="2">
        <v>121</v>
      </c>
      <c r="S75" s="2">
        <v>116.1</v>
      </c>
      <c r="T75" s="2">
        <v>120.2</v>
      </c>
      <c r="U75" s="2">
        <v>117.3</v>
      </c>
      <c r="V75" s="2">
        <v>113.4</v>
      </c>
      <c r="W75" s="2">
        <v>117.2</v>
      </c>
      <c r="X75" s="2">
        <v>113.7</v>
      </c>
      <c r="Y75" s="2">
        <v>107.9</v>
      </c>
      <c r="Z75" s="2">
        <v>114.6</v>
      </c>
      <c r="AA75" s="2">
        <v>120.8</v>
      </c>
      <c r="AB75" s="2">
        <v>111.4</v>
      </c>
      <c r="AC75" s="2">
        <v>113.4</v>
      </c>
      <c r="AD75" s="2">
        <v>118.5</v>
      </c>
    </row>
    <row r="76" spans="1:30" ht="26.5" thickBot="1" x14ac:dyDescent="0.4">
      <c r="A76" s="1" t="s">
        <v>34</v>
      </c>
      <c r="B76" s="2">
        <v>2015</v>
      </c>
      <c r="C76" s="1" t="s">
        <v>31</v>
      </c>
      <c r="D76" s="2">
        <v>123.4</v>
      </c>
      <c r="E76" s="2">
        <v>123.9</v>
      </c>
      <c r="F76" s="2">
        <v>123.8</v>
      </c>
      <c r="G76" s="2">
        <v>125</v>
      </c>
      <c r="H76" s="2">
        <v>108.5</v>
      </c>
      <c r="I76" s="2">
        <v>126.2</v>
      </c>
      <c r="J76" s="2">
        <v>133</v>
      </c>
      <c r="K76" s="2">
        <v>119.1</v>
      </c>
      <c r="L76" s="2">
        <v>99</v>
      </c>
      <c r="M76" s="2">
        <v>120.3</v>
      </c>
      <c r="N76" s="2">
        <v>117.3</v>
      </c>
      <c r="O76" s="2">
        <v>126.7</v>
      </c>
      <c r="P76" s="2">
        <v>123.1</v>
      </c>
      <c r="Q76" s="2">
        <v>124</v>
      </c>
      <c r="R76" s="2">
        <v>123.1</v>
      </c>
      <c r="S76" s="2">
        <v>119.3</v>
      </c>
      <c r="T76" s="2">
        <v>122.5</v>
      </c>
      <c r="U76" s="2">
        <v>117.3</v>
      </c>
      <c r="V76" s="2">
        <v>116.5</v>
      </c>
      <c r="W76" s="2">
        <v>118.1</v>
      </c>
      <c r="X76" s="2">
        <v>115.5</v>
      </c>
      <c r="Y76" s="2">
        <v>109.4</v>
      </c>
      <c r="Z76" s="2">
        <v>114.3</v>
      </c>
      <c r="AA76" s="2">
        <v>119.7</v>
      </c>
      <c r="AB76" s="2">
        <v>110.7</v>
      </c>
      <c r="AC76" s="2">
        <v>114</v>
      </c>
      <c r="AD76" s="2">
        <v>119.5</v>
      </c>
    </row>
    <row r="77" spans="1:30" ht="15" thickBot="1" x14ac:dyDescent="0.4">
      <c r="A77" s="1" t="s">
        <v>30</v>
      </c>
      <c r="B77" s="2">
        <v>2015</v>
      </c>
      <c r="C77" s="1" t="s">
        <v>35</v>
      </c>
      <c r="D77" s="2">
        <v>123.4</v>
      </c>
      <c r="E77" s="2">
        <v>124.4</v>
      </c>
      <c r="F77" s="2">
        <v>122.1</v>
      </c>
      <c r="G77" s="2">
        <v>125.8</v>
      </c>
      <c r="H77" s="2">
        <v>111.5</v>
      </c>
      <c r="I77" s="2">
        <v>129.4</v>
      </c>
      <c r="J77" s="2">
        <v>128.19999999999999</v>
      </c>
      <c r="K77" s="2">
        <v>118.8</v>
      </c>
      <c r="L77" s="2">
        <v>100</v>
      </c>
      <c r="M77" s="2">
        <v>118.6</v>
      </c>
      <c r="N77" s="2">
        <v>118.8</v>
      </c>
      <c r="O77" s="2">
        <v>126.8</v>
      </c>
      <c r="P77" s="2">
        <v>122.8</v>
      </c>
      <c r="Q77" s="2">
        <v>124.2</v>
      </c>
      <c r="R77" s="2">
        <v>125.4</v>
      </c>
      <c r="S77" s="2">
        <v>122.7</v>
      </c>
      <c r="T77" s="2">
        <v>125</v>
      </c>
      <c r="U77" s="1" t="s">
        <v>32</v>
      </c>
      <c r="V77" s="2">
        <v>120</v>
      </c>
      <c r="W77" s="2">
        <v>119.6</v>
      </c>
      <c r="X77" s="2">
        <v>117.7</v>
      </c>
      <c r="Y77" s="2">
        <v>110.9</v>
      </c>
      <c r="Z77" s="2">
        <v>114.8</v>
      </c>
      <c r="AA77" s="2">
        <v>118.7</v>
      </c>
      <c r="AB77" s="2">
        <v>110.8</v>
      </c>
      <c r="AC77" s="2">
        <v>115</v>
      </c>
      <c r="AD77" s="2">
        <v>120.6</v>
      </c>
    </row>
    <row r="78" spans="1:30" ht="15" thickBot="1" x14ac:dyDescent="0.4">
      <c r="A78" s="1" t="s">
        <v>33</v>
      </c>
      <c r="B78" s="2">
        <v>2015</v>
      </c>
      <c r="C78" s="1" t="s">
        <v>35</v>
      </c>
      <c r="D78" s="2">
        <v>124.3</v>
      </c>
      <c r="E78" s="2">
        <v>126.5</v>
      </c>
      <c r="F78" s="2">
        <v>119.5</v>
      </c>
      <c r="G78" s="2">
        <v>125.6</v>
      </c>
      <c r="H78" s="2">
        <v>104.9</v>
      </c>
      <c r="I78" s="2">
        <v>121.6</v>
      </c>
      <c r="J78" s="2">
        <v>131.80000000000001</v>
      </c>
      <c r="K78" s="2">
        <v>125.1</v>
      </c>
      <c r="L78" s="2">
        <v>95</v>
      </c>
      <c r="M78" s="2">
        <v>127.7</v>
      </c>
      <c r="N78" s="2">
        <v>116.8</v>
      </c>
      <c r="O78" s="2">
        <v>128.6</v>
      </c>
      <c r="P78" s="2">
        <v>123.7</v>
      </c>
      <c r="Q78" s="2">
        <v>128.1</v>
      </c>
      <c r="R78" s="2">
        <v>121.3</v>
      </c>
      <c r="S78" s="2">
        <v>116.5</v>
      </c>
      <c r="T78" s="2">
        <v>120.6</v>
      </c>
      <c r="U78" s="2">
        <v>118.1</v>
      </c>
      <c r="V78" s="2">
        <v>114</v>
      </c>
      <c r="W78" s="2">
        <v>117.7</v>
      </c>
      <c r="X78" s="2">
        <v>114.1</v>
      </c>
      <c r="Y78" s="2">
        <v>106.8</v>
      </c>
      <c r="Z78" s="2">
        <v>114.9</v>
      </c>
      <c r="AA78" s="2">
        <v>120.4</v>
      </c>
      <c r="AB78" s="2">
        <v>111.7</v>
      </c>
      <c r="AC78" s="2">
        <v>113.2</v>
      </c>
      <c r="AD78" s="2">
        <v>118.7</v>
      </c>
    </row>
    <row r="79" spans="1:30" ht="26.5" thickBot="1" x14ac:dyDescent="0.4">
      <c r="A79" s="1" t="s">
        <v>34</v>
      </c>
      <c r="B79" s="2">
        <v>2015</v>
      </c>
      <c r="C79" s="1" t="s">
        <v>35</v>
      </c>
      <c r="D79" s="2">
        <v>123.7</v>
      </c>
      <c r="E79" s="2">
        <v>125.1</v>
      </c>
      <c r="F79" s="2">
        <v>121.1</v>
      </c>
      <c r="G79" s="2">
        <v>125.7</v>
      </c>
      <c r="H79" s="2">
        <v>109.1</v>
      </c>
      <c r="I79" s="2">
        <v>125.8</v>
      </c>
      <c r="J79" s="2">
        <v>129.4</v>
      </c>
      <c r="K79" s="2">
        <v>120.9</v>
      </c>
      <c r="L79" s="2">
        <v>98.3</v>
      </c>
      <c r="M79" s="2">
        <v>121.6</v>
      </c>
      <c r="N79" s="2">
        <v>118</v>
      </c>
      <c r="O79" s="2">
        <v>127.6</v>
      </c>
      <c r="P79" s="2">
        <v>123.1</v>
      </c>
      <c r="Q79" s="2">
        <v>125.2</v>
      </c>
      <c r="R79" s="2">
        <v>123.8</v>
      </c>
      <c r="S79" s="2">
        <v>120.1</v>
      </c>
      <c r="T79" s="2">
        <v>123.3</v>
      </c>
      <c r="U79" s="2">
        <v>118.1</v>
      </c>
      <c r="V79" s="2">
        <v>117.7</v>
      </c>
      <c r="W79" s="2">
        <v>118.7</v>
      </c>
      <c r="X79" s="2">
        <v>116.3</v>
      </c>
      <c r="Y79" s="2">
        <v>108.7</v>
      </c>
      <c r="Z79" s="2">
        <v>114.9</v>
      </c>
      <c r="AA79" s="2">
        <v>119.7</v>
      </c>
      <c r="AB79" s="2">
        <v>111.2</v>
      </c>
      <c r="AC79" s="2">
        <v>114.1</v>
      </c>
      <c r="AD79" s="2">
        <v>119.7</v>
      </c>
    </row>
    <row r="80" spans="1:30" ht="15" thickBot="1" x14ac:dyDescent="0.4">
      <c r="A80" s="1" t="s">
        <v>30</v>
      </c>
      <c r="B80" s="2">
        <v>2015</v>
      </c>
      <c r="C80" s="1" t="s">
        <v>36</v>
      </c>
      <c r="D80" s="2">
        <v>123.3</v>
      </c>
      <c r="E80" s="2">
        <v>124.7</v>
      </c>
      <c r="F80" s="2">
        <v>118.9</v>
      </c>
      <c r="G80" s="2">
        <v>126</v>
      </c>
      <c r="H80" s="2">
        <v>111.8</v>
      </c>
      <c r="I80" s="2">
        <v>130.9</v>
      </c>
      <c r="J80" s="2">
        <v>128</v>
      </c>
      <c r="K80" s="2">
        <v>119.9</v>
      </c>
      <c r="L80" s="2">
        <v>98.9</v>
      </c>
      <c r="M80" s="2">
        <v>119.4</v>
      </c>
      <c r="N80" s="2">
        <v>118.9</v>
      </c>
      <c r="O80" s="2">
        <v>127.7</v>
      </c>
      <c r="P80" s="2">
        <v>123.1</v>
      </c>
      <c r="Q80" s="2">
        <v>124.7</v>
      </c>
      <c r="R80" s="2">
        <v>126</v>
      </c>
      <c r="S80" s="2">
        <v>122.9</v>
      </c>
      <c r="T80" s="2">
        <v>125.5</v>
      </c>
      <c r="U80" s="1" t="s">
        <v>32</v>
      </c>
      <c r="V80" s="2">
        <v>120.6</v>
      </c>
      <c r="W80" s="2">
        <v>120.2</v>
      </c>
      <c r="X80" s="2">
        <v>118.2</v>
      </c>
      <c r="Y80" s="2">
        <v>111.6</v>
      </c>
      <c r="Z80" s="2">
        <v>115.5</v>
      </c>
      <c r="AA80" s="2">
        <v>119.4</v>
      </c>
      <c r="AB80" s="2">
        <v>110.8</v>
      </c>
      <c r="AC80" s="2">
        <v>115.5</v>
      </c>
      <c r="AD80" s="2">
        <v>121.1</v>
      </c>
    </row>
    <row r="81" spans="1:30" ht="15" thickBot="1" x14ac:dyDescent="0.4">
      <c r="A81" s="1" t="s">
        <v>33</v>
      </c>
      <c r="B81" s="2">
        <v>2015</v>
      </c>
      <c r="C81" s="1" t="s">
        <v>36</v>
      </c>
      <c r="D81" s="2">
        <v>124</v>
      </c>
      <c r="E81" s="2">
        <v>126.7</v>
      </c>
      <c r="F81" s="2">
        <v>113.5</v>
      </c>
      <c r="G81" s="2">
        <v>125.9</v>
      </c>
      <c r="H81" s="2">
        <v>104.8</v>
      </c>
      <c r="I81" s="2">
        <v>123.8</v>
      </c>
      <c r="J81" s="2">
        <v>131.4</v>
      </c>
      <c r="K81" s="2">
        <v>127.2</v>
      </c>
      <c r="L81" s="2">
        <v>93.2</v>
      </c>
      <c r="M81" s="2">
        <v>127.4</v>
      </c>
      <c r="N81" s="2">
        <v>117</v>
      </c>
      <c r="O81" s="2">
        <v>129.19999999999999</v>
      </c>
      <c r="P81" s="2">
        <v>123.9</v>
      </c>
      <c r="Q81" s="2">
        <v>128.80000000000001</v>
      </c>
      <c r="R81" s="2">
        <v>121.7</v>
      </c>
      <c r="S81" s="2">
        <v>116.9</v>
      </c>
      <c r="T81" s="2">
        <v>120.9</v>
      </c>
      <c r="U81" s="2">
        <v>118.6</v>
      </c>
      <c r="V81" s="2">
        <v>114.4</v>
      </c>
      <c r="W81" s="2">
        <v>118</v>
      </c>
      <c r="X81" s="2">
        <v>114.3</v>
      </c>
      <c r="Y81" s="2">
        <v>108.4</v>
      </c>
      <c r="Z81" s="2">
        <v>115.4</v>
      </c>
      <c r="AA81" s="2">
        <v>120.6</v>
      </c>
      <c r="AB81" s="2">
        <v>111.3</v>
      </c>
      <c r="AC81" s="2">
        <v>113.8</v>
      </c>
      <c r="AD81" s="2">
        <v>119.1</v>
      </c>
    </row>
    <row r="82" spans="1:30" ht="26.5" thickBot="1" x14ac:dyDescent="0.4">
      <c r="A82" s="1" t="s">
        <v>34</v>
      </c>
      <c r="B82" s="2">
        <v>2015</v>
      </c>
      <c r="C82" s="1" t="s">
        <v>36</v>
      </c>
      <c r="D82" s="2">
        <v>123.5</v>
      </c>
      <c r="E82" s="2">
        <v>125.4</v>
      </c>
      <c r="F82" s="2">
        <v>116.8</v>
      </c>
      <c r="G82" s="2">
        <v>126</v>
      </c>
      <c r="H82" s="2">
        <v>109.2</v>
      </c>
      <c r="I82" s="2">
        <v>127.6</v>
      </c>
      <c r="J82" s="2">
        <v>129.19999999999999</v>
      </c>
      <c r="K82" s="2">
        <v>122.4</v>
      </c>
      <c r="L82" s="2">
        <v>97</v>
      </c>
      <c r="M82" s="2">
        <v>122.1</v>
      </c>
      <c r="N82" s="2">
        <v>118.1</v>
      </c>
      <c r="O82" s="2">
        <v>128.4</v>
      </c>
      <c r="P82" s="2">
        <v>123.4</v>
      </c>
      <c r="Q82" s="2">
        <v>125.8</v>
      </c>
      <c r="R82" s="2">
        <v>124.3</v>
      </c>
      <c r="S82" s="2">
        <v>120.4</v>
      </c>
      <c r="T82" s="2">
        <v>123.7</v>
      </c>
      <c r="U82" s="2">
        <v>118.6</v>
      </c>
      <c r="V82" s="2">
        <v>118.3</v>
      </c>
      <c r="W82" s="2">
        <v>119.2</v>
      </c>
      <c r="X82" s="2">
        <v>116.7</v>
      </c>
      <c r="Y82" s="2">
        <v>109.9</v>
      </c>
      <c r="Z82" s="2">
        <v>115.4</v>
      </c>
      <c r="AA82" s="2">
        <v>120.1</v>
      </c>
      <c r="AB82" s="2">
        <v>111</v>
      </c>
      <c r="AC82" s="2">
        <v>114.7</v>
      </c>
      <c r="AD82" s="2">
        <v>120.2</v>
      </c>
    </row>
    <row r="83" spans="1:30" ht="15" thickBot="1" x14ac:dyDescent="0.4">
      <c r="A83" s="1" t="s">
        <v>30</v>
      </c>
      <c r="B83" s="2">
        <v>2015</v>
      </c>
      <c r="C83" s="1" t="s">
        <v>37</v>
      </c>
      <c r="D83" s="2">
        <v>123.3</v>
      </c>
      <c r="E83" s="2">
        <v>125.5</v>
      </c>
      <c r="F83" s="2">
        <v>117.2</v>
      </c>
      <c r="G83" s="2">
        <v>126.8</v>
      </c>
      <c r="H83" s="2">
        <v>111.9</v>
      </c>
      <c r="I83" s="2">
        <v>134.19999999999999</v>
      </c>
      <c r="J83" s="2">
        <v>127.5</v>
      </c>
      <c r="K83" s="2">
        <v>121.5</v>
      </c>
      <c r="L83" s="2">
        <v>97.8</v>
      </c>
      <c r="M83" s="2">
        <v>119.8</v>
      </c>
      <c r="N83" s="2">
        <v>119.4</v>
      </c>
      <c r="O83" s="2">
        <v>128.69999999999999</v>
      </c>
      <c r="P83" s="2">
        <v>123.6</v>
      </c>
      <c r="Q83" s="2">
        <v>125.7</v>
      </c>
      <c r="R83" s="2">
        <v>126.4</v>
      </c>
      <c r="S83" s="2">
        <v>123.3</v>
      </c>
      <c r="T83" s="2">
        <v>126</v>
      </c>
      <c r="U83" s="1" t="s">
        <v>32</v>
      </c>
      <c r="V83" s="2">
        <v>121.2</v>
      </c>
      <c r="W83" s="2">
        <v>120.9</v>
      </c>
      <c r="X83" s="2">
        <v>118.6</v>
      </c>
      <c r="Y83" s="2">
        <v>111.9</v>
      </c>
      <c r="Z83" s="2">
        <v>116.2</v>
      </c>
      <c r="AA83" s="2">
        <v>119.9</v>
      </c>
      <c r="AB83" s="2">
        <v>111.6</v>
      </c>
      <c r="AC83" s="2">
        <v>116</v>
      </c>
      <c r="AD83" s="2">
        <v>121.5</v>
      </c>
    </row>
    <row r="84" spans="1:30" ht="15" thickBot="1" x14ac:dyDescent="0.4">
      <c r="A84" s="1" t="s">
        <v>33</v>
      </c>
      <c r="B84" s="2">
        <v>2015</v>
      </c>
      <c r="C84" s="1" t="s">
        <v>37</v>
      </c>
      <c r="D84" s="2">
        <v>123.8</v>
      </c>
      <c r="E84" s="2">
        <v>128.19999999999999</v>
      </c>
      <c r="F84" s="2">
        <v>110</v>
      </c>
      <c r="G84" s="2">
        <v>126.3</v>
      </c>
      <c r="H84" s="2">
        <v>104.5</v>
      </c>
      <c r="I84" s="2">
        <v>130.6</v>
      </c>
      <c r="J84" s="2">
        <v>130.80000000000001</v>
      </c>
      <c r="K84" s="2">
        <v>131.30000000000001</v>
      </c>
      <c r="L84" s="2">
        <v>91.6</v>
      </c>
      <c r="M84" s="2">
        <v>127.7</v>
      </c>
      <c r="N84" s="2">
        <v>117.2</v>
      </c>
      <c r="O84" s="2">
        <v>129.5</v>
      </c>
      <c r="P84" s="2">
        <v>124.6</v>
      </c>
      <c r="Q84" s="2">
        <v>130.1</v>
      </c>
      <c r="R84" s="2">
        <v>122.1</v>
      </c>
      <c r="S84" s="2">
        <v>117.2</v>
      </c>
      <c r="T84" s="2">
        <v>121.3</v>
      </c>
      <c r="U84" s="2">
        <v>119.2</v>
      </c>
      <c r="V84" s="2">
        <v>114.7</v>
      </c>
      <c r="W84" s="2">
        <v>118.4</v>
      </c>
      <c r="X84" s="2">
        <v>114.6</v>
      </c>
      <c r="Y84" s="2">
        <v>108.4</v>
      </c>
      <c r="Z84" s="2">
        <v>115.6</v>
      </c>
      <c r="AA84" s="2">
        <v>121.7</v>
      </c>
      <c r="AB84" s="2">
        <v>111.8</v>
      </c>
      <c r="AC84" s="2">
        <v>114.2</v>
      </c>
      <c r="AD84" s="2">
        <v>119.7</v>
      </c>
    </row>
    <row r="85" spans="1:30" ht="26.5" thickBot="1" x14ac:dyDescent="0.4">
      <c r="A85" s="1" t="s">
        <v>34</v>
      </c>
      <c r="B85" s="2">
        <v>2015</v>
      </c>
      <c r="C85" s="1" t="s">
        <v>37</v>
      </c>
      <c r="D85" s="2">
        <v>123.5</v>
      </c>
      <c r="E85" s="2">
        <v>126.4</v>
      </c>
      <c r="F85" s="2">
        <v>114.4</v>
      </c>
      <c r="G85" s="2">
        <v>126.6</v>
      </c>
      <c r="H85" s="2">
        <v>109.2</v>
      </c>
      <c r="I85" s="2">
        <v>132.5</v>
      </c>
      <c r="J85" s="2">
        <v>128.6</v>
      </c>
      <c r="K85" s="2">
        <v>124.8</v>
      </c>
      <c r="L85" s="2">
        <v>95.7</v>
      </c>
      <c r="M85" s="2">
        <v>122.4</v>
      </c>
      <c r="N85" s="2">
        <v>118.5</v>
      </c>
      <c r="O85" s="2">
        <v>129.1</v>
      </c>
      <c r="P85" s="2">
        <v>124</v>
      </c>
      <c r="Q85" s="2">
        <v>126.9</v>
      </c>
      <c r="R85" s="2">
        <v>124.7</v>
      </c>
      <c r="S85" s="2">
        <v>120.8</v>
      </c>
      <c r="T85" s="2">
        <v>124.1</v>
      </c>
      <c r="U85" s="2">
        <v>119.2</v>
      </c>
      <c r="V85" s="2">
        <v>118.7</v>
      </c>
      <c r="W85" s="2">
        <v>119.7</v>
      </c>
      <c r="X85" s="2">
        <v>117.1</v>
      </c>
      <c r="Y85" s="2">
        <v>110.1</v>
      </c>
      <c r="Z85" s="2">
        <v>115.9</v>
      </c>
      <c r="AA85" s="2">
        <v>121</v>
      </c>
      <c r="AB85" s="2">
        <v>111.7</v>
      </c>
      <c r="AC85" s="2">
        <v>115.1</v>
      </c>
      <c r="AD85" s="2">
        <v>120.7</v>
      </c>
    </row>
    <row r="86" spans="1:30" ht="15" thickBot="1" x14ac:dyDescent="0.4">
      <c r="A86" s="1" t="s">
        <v>30</v>
      </c>
      <c r="B86" s="2">
        <v>2015</v>
      </c>
      <c r="C86" s="1" t="s">
        <v>38</v>
      </c>
      <c r="D86" s="2">
        <v>123.5</v>
      </c>
      <c r="E86" s="2">
        <v>127.1</v>
      </c>
      <c r="F86" s="2">
        <v>117.3</v>
      </c>
      <c r="G86" s="2">
        <v>127.7</v>
      </c>
      <c r="H86" s="2">
        <v>112.5</v>
      </c>
      <c r="I86" s="2">
        <v>134.1</v>
      </c>
      <c r="J86" s="2">
        <v>128.5</v>
      </c>
      <c r="K86" s="2">
        <v>124.3</v>
      </c>
      <c r="L86" s="2">
        <v>97.6</v>
      </c>
      <c r="M86" s="2">
        <v>120.7</v>
      </c>
      <c r="N86" s="2">
        <v>120.2</v>
      </c>
      <c r="O86" s="2">
        <v>129.80000000000001</v>
      </c>
      <c r="P86" s="2">
        <v>124.4</v>
      </c>
      <c r="Q86" s="2">
        <v>126.7</v>
      </c>
      <c r="R86" s="2">
        <v>127.3</v>
      </c>
      <c r="S86" s="2">
        <v>124.1</v>
      </c>
      <c r="T86" s="2">
        <v>126.8</v>
      </c>
      <c r="U86" s="1" t="s">
        <v>32</v>
      </c>
      <c r="V86" s="2">
        <v>121.9</v>
      </c>
      <c r="W86" s="2">
        <v>121.5</v>
      </c>
      <c r="X86" s="2">
        <v>119.4</v>
      </c>
      <c r="Y86" s="2">
        <v>113.3</v>
      </c>
      <c r="Z86" s="2">
        <v>116.7</v>
      </c>
      <c r="AA86" s="2">
        <v>120.5</v>
      </c>
      <c r="AB86" s="2">
        <v>112.3</v>
      </c>
      <c r="AC86" s="2">
        <v>116.9</v>
      </c>
      <c r="AD86" s="2">
        <v>122.4</v>
      </c>
    </row>
    <row r="87" spans="1:30" ht="15" thickBot="1" x14ac:dyDescent="0.4">
      <c r="A87" s="1" t="s">
        <v>33</v>
      </c>
      <c r="B87" s="2">
        <v>2015</v>
      </c>
      <c r="C87" s="1" t="s">
        <v>38</v>
      </c>
      <c r="D87" s="2">
        <v>123.8</v>
      </c>
      <c r="E87" s="2">
        <v>129.69999999999999</v>
      </c>
      <c r="F87" s="2">
        <v>111.3</v>
      </c>
      <c r="G87" s="2">
        <v>126.6</v>
      </c>
      <c r="H87" s="2">
        <v>105.2</v>
      </c>
      <c r="I87" s="2">
        <v>130.80000000000001</v>
      </c>
      <c r="J87" s="2">
        <v>135.6</v>
      </c>
      <c r="K87" s="2">
        <v>142.6</v>
      </c>
      <c r="L87" s="2">
        <v>90.8</v>
      </c>
      <c r="M87" s="2">
        <v>128.80000000000001</v>
      </c>
      <c r="N87" s="2">
        <v>117.7</v>
      </c>
      <c r="O87" s="2">
        <v>129.9</v>
      </c>
      <c r="P87" s="2">
        <v>126.1</v>
      </c>
      <c r="Q87" s="2">
        <v>131.30000000000001</v>
      </c>
      <c r="R87" s="2">
        <v>122.4</v>
      </c>
      <c r="S87" s="2">
        <v>117.4</v>
      </c>
      <c r="T87" s="2">
        <v>121.6</v>
      </c>
      <c r="U87" s="2">
        <v>119.6</v>
      </c>
      <c r="V87" s="2">
        <v>114.9</v>
      </c>
      <c r="W87" s="2">
        <v>118.7</v>
      </c>
      <c r="X87" s="2">
        <v>114.9</v>
      </c>
      <c r="Y87" s="2">
        <v>110.8</v>
      </c>
      <c r="Z87" s="2">
        <v>116</v>
      </c>
      <c r="AA87" s="2">
        <v>122</v>
      </c>
      <c r="AB87" s="2">
        <v>112.4</v>
      </c>
      <c r="AC87" s="2">
        <v>115.2</v>
      </c>
      <c r="AD87" s="2">
        <v>120.7</v>
      </c>
    </row>
    <row r="88" spans="1:30" ht="26.5" thickBot="1" x14ac:dyDescent="0.4">
      <c r="A88" s="1" t="s">
        <v>34</v>
      </c>
      <c r="B88" s="2">
        <v>2015</v>
      </c>
      <c r="C88" s="1" t="s">
        <v>38</v>
      </c>
      <c r="D88" s="2">
        <v>123.6</v>
      </c>
      <c r="E88" s="2">
        <v>128</v>
      </c>
      <c r="F88" s="2">
        <v>115</v>
      </c>
      <c r="G88" s="2">
        <v>127.3</v>
      </c>
      <c r="H88" s="2">
        <v>109.8</v>
      </c>
      <c r="I88" s="2">
        <v>132.6</v>
      </c>
      <c r="J88" s="2">
        <v>130.9</v>
      </c>
      <c r="K88" s="2">
        <v>130.5</v>
      </c>
      <c r="L88" s="2">
        <v>95.3</v>
      </c>
      <c r="M88" s="2">
        <v>123.4</v>
      </c>
      <c r="N88" s="2">
        <v>119.2</v>
      </c>
      <c r="O88" s="2">
        <v>129.80000000000001</v>
      </c>
      <c r="P88" s="2">
        <v>125</v>
      </c>
      <c r="Q88" s="2">
        <v>127.9</v>
      </c>
      <c r="R88" s="2">
        <v>125.4</v>
      </c>
      <c r="S88" s="2">
        <v>121.3</v>
      </c>
      <c r="T88" s="2">
        <v>124.7</v>
      </c>
      <c r="U88" s="2">
        <v>119.6</v>
      </c>
      <c r="V88" s="2">
        <v>119.2</v>
      </c>
      <c r="W88" s="2">
        <v>120.2</v>
      </c>
      <c r="X88" s="2">
        <v>117.7</v>
      </c>
      <c r="Y88" s="2">
        <v>112</v>
      </c>
      <c r="Z88" s="2">
        <v>116.3</v>
      </c>
      <c r="AA88" s="2">
        <v>121.4</v>
      </c>
      <c r="AB88" s="2">
        <v>112.3</v>
      </c>
      <c r="AC88" s="2">
        <v>116.1</v>
      </c>
      <c r="AD88" s="2">
        <v>121.6</v>
      </c>
    </row>
    <row r="89" spans="1:30" ht="15" thickBot="1" x14ac:dyDescent="0.4">
      <c r="A89" s="1" t="s">
        <v>30</v>
      </c>
      <c r="B89" s="2">
        <v>2015</v>
      </c>
      <c r="C89" s="1" t="s">
        <v>39</v>
      </c>
      <c r="D89" s="2">
        <v>124.1</v>
      </c>
      <c r="E89" s="2">
        <v>130.4</v>
      </c>
      <c r="F89" s="2">
        <v>122.1</v>
      </c>
      <c r="G89" s="2">
        <v>128.69999999999999</v>
      </c>
      <c r="H89" s="2">
        <v>114.1</v>
      </c>
      <c r="I89" s="2">
        <v>133.19999999999999</v>
      </c>
      <c r="J89" s="2">
        <v>135.19999999999999</v>
      </c>
      <c r="K89" s="2">
        <v>131.9</v>
      </c>
      <c r="L89" s="2">
        <v>96.3</v>
      </c>
      <c r="M89" s="2">
        <v>123</v>
      </c>
      <c r="N89" s="2">
        <v>121.1</v>
      </c>
      <c r="O89" s="2">
        <v>131.19999999999999</v>
      </c>
      <c r="P89" s="2">
        <v>126.6</v>
      </c>
      <c r="Q89" s="2">
        <v>128.19999999999999</v>
      </c>
      <c r="R89" s="2">
        <v>128.4</v>
      </c>
      <c r="S89" s="2">
        <v>125.1</v>
      </c>
      <c r="T89" s="2">
        <v>128</v>
      </c>
      <c r="U89" s="1" t="s">
        <v>32</v>
      </c>
      <c r="V89" s="2">
        <v>122.6</v>
      </c>
      <c r="W89" s="2">
        <v>122.8</v>
      </c>
      <c r="X89" s="2">
        <v>120.4</v>
      </c>
      <c r="Y89" s="2">
        <v>114.2</v>
      </c>
      <c r="Z89" s="2">
        <v>117.9</v>
      </c>
      <c r="AA89" s="2">
        <v>122</v>
      </c>
      <c r="AB89" s="2">
        <v>113</v>
      </c>
      <c r="AC89" s="2">
        <v>117.9</v>
      </c>
      <c r="AD89" s="2">
        <v>124.1</v>
      </c>
    </row>
    <row r="90" spans="1:30" ht="15" thickBot="1" x14ac:dyDescent="0.4">
      <c r="A90" s="1" t="s">
        <v>33</v>
      </c>
      <c r="B90" s="2">
        <v>2015</v>
      </c>
      <c r="C90" s="1" t="s">
        <v>39</v>
      </c>
      <c r="D90" s="2">
        <v>123.6</v>
      </c>
      <c r="E90" s="2">
        <v>134.4</v>
      </c>
      <c r="F90" s="2">
        <v>120.9</v>
      </c>
      <c r="G90" s="2">
        <v>127.3</v>
      </c>
      <c r="H90" s="2">
        <v>106</v>
      </c>
      <c r="I90" s="2">
        <v>132.30000000000001</v>
      </c>
      <c r="J90" s="2">
        <v>146.69999999999999</v>
      </c>
      <c r="K90" s="2">
        <v>148.1</v>
      </c>
      <c r="L90" s="2">
        <v>89.8</v>
      </c>
      <c r="M90" s="2">
        <v>130.5</v>
      </c>
      <c r="N90" s="2">
        <v>118</v>
      </c>
      <c r="O90" s="2">
        <v>130.5</v>
      </c>
      <c r="P90" s="2">
        <v>128.5</v>
      </c>
      <c r="Q90" s="2">
        <v>132.1</v>
      </c>
      <c r="R90" s="2">
        <v>123.2</v>
      </c>
      <c r="S90" s="2">
        <v>117.6</v>
      </c>
      <c r="T90" s="2">
        <v>122.3</v>
      </c>
      <c r="U90" s="2">
        <v>119</v>
      </c>
      <c r="V90" s="2">
        <v>115.1</v>
      </c>
      <c r="W90" s="2">
        <v>119.2</v>
      </c>
      <c r="X90" s="2">
        <v>115.4</v>
      </c>
      <c r="Y90" s="2">
        <v>111.7</v>
      </c>
      <c r="Z90" s="2">
        <v>116.2</v>
      </c>
      <c r="AA90" s="2">
        <v>123.8</v>
      </c>
      <c r="AB90" s="2">
        <v>112.5</v>
      </c>
      <c r="AC90" s="2">
        <v>116</v>
      </c>
      <c r="AD90" s="2">
        <v>121.7</v>
      </c>
    </row>
    <row r="91" spans="1:30" ht="26.5" thickBot="1" x14ac:dyDescent="0.4">
      <c r="A91" s="1" t="s">
        <v>34</v>
      </c>
      <c r="B91" s="2">
        <v>2015</v>
      </c>
      <c r="C91" s="1" t="s">
        <v>39</v>
      </c>
      <c r="D91" s="2">
        <v>123.9</v>
      </c>
      <c r="E91" s="2">
        <v>131.80000000000001</v>
      </c>
      <c r="F91" s="2">
        <v>121.6</v>
      </c>
      <c r="G91" s="2">
        <v>128.19999999999999</v>
      </c>
      <c r="H91" s="2">
        <v>111.1</v>
      </c>
      <c r="I91" s="2">
        <v>132.80000000000001</v>
      </c>
      <c r="J91" s="2">
        <v>139.1</v>
      </c>
      <c r="K91" s="2">
        <v>137.4</v>
      </c>
      <c r="L91" s="2">
        <v>94.1</v>
      </c>
      <c r="M91" s="2">
        <v>125.5</v>
      </c>
      <c r="N91" s="2">
        <v>119.8</v>
      </c>
      <c r="O91" s="2">
        <v>130.9</v>
      </c>
      <c r="P91" s="2">
        <v>127.3</v>
      </c>
      <c r="Q91" s="2">
        <v>129.19999999999999</v>
      </c>
      <c r="R91" s="2">
        <v>126.4</v>
      </c>
      <c r="S91" s="2">
        <v>122</v>
      </c>
      <c r="T91" s="2">
        <v>125.7</v>
      </c>
      <c r="U91" s="2">
        <v>119</v>
      </c>
      <c r="V91" s="2">
        <v>119.8</v>
      </c>
      <c r="W91" s="2">
        <v>121.1</v>
      </c>
      <c r="X91" s="2">
        <v>118.5</v>
      </c>
      <c r="Y91" s="2">
        <v>112.9</v>
      </c>
      <c r="Z91" s="2">
        <v>116.9</v>
      </c>
      <c r="AA91" s="2">
        <v>123.1</v>
      </c>
      <c r="AB91" s="2">
        <v>112.8</v>
      </c>
      <c r="AC91" s="2">
        <v>117</v>
      </c>
      <c r="AD91" s="2">
        <v>123</v>
      </c>
    </row>
    <row r="92" spans="1:30" ht="15" thickBot="1" x14ac:dyDescent="0.4">
      <c r="A92" s="1" t="s">
        <v>30</v>
      </c>
      <c r="B92" s="2">
        <v>2015</v>
      </c>
      <c r="C92" s="1" t="s">
        <v>40</v>
      </c>
      <c r="D92" s="2">
        <v>124</v>
      </c>
      <c r="E92" s="2">
        <v>131.5</v>
      </c>
      <c r="F92" s="2">
        <v>122</v>
      </c>
      <c r="G92" s="2">
        <v>128.69999999999999</v>
      </c>
      <c r="H92" s="2">
        <v>113.5</v>
      </c>
      <c r="I92" s="2">
        <v>133.30000000000001</v>
      </c>
      <c r="J92" s="2">
        <v>140.80000000000001</v>
      </c>
      <c r="K92" s="2">
        <v>133.80000000000001</v>
      </c>
      <c r="L92" s="2">
        <v>94.1</v>
      </c>
      <c r="M92" s="2">
        <v>123.4</v>
      </c>
      <c r="N92" s="2">
        <v>121</v>
      </c>
      <c r="O92" s="2">
        <v>131.69999999999999</v>
      </c>
      <c r="P92" s="2">
        <v>127.5</v>
      </c>
      <c r="Q92" s="2">
        <v>129.4</v>
      </c>
      <c r="R92" s="2">
        <v>128.80000000000001</v>
      </c>
      <c r="S92" s="2">
        <v>125.5</v>
      </c>
      <c r="T92" s="2">
        <v>128.30000000000001</v>
      </c>
      <c r="U92" s="1" t="s">
        <v>32</v>
      </c>
      <c r="V92" s="2">
        <v>123</v>
      </c>
      <c r="W92" s="2">
        <v>123</v>
      </c>
      <c r="X92" s="2">
        <v>120.8</v>
      </c>
      <c r="Y92" s="2">
        <v>114.1</v>
      </c>
      <c r="Z92" s="2">
        <v>118</v>
      </c>
      <c r="AA92" s="2">
        <v>122.9</v>
      </c>
      <c r="AB92" s="2">
        <v>112.7</v>
      </c>
      <c r="AC92" s="2">
        <v>118.1</v>
      </c>
      <c r="AD92" s="2">
        <v>124.7</v>
      </c>
    </row>
    <row r="93" spans="1:30" ht="15" thickBot="1" x14ac:dyDescent="0.4">
      <c r="A93" s="1" t="s">
        <v>33</v>
      </c>
      <c r="B93" s="2">
        <v>2015</v>
      </c>
      <c r="C93" s="1" t="s">
        <v>40</v>
      </c>
      <c r="D93" s="2">
        <v>123.2</v>
      </c>
      <c r="E93" s="2">
        <v>134.30000000000001</v>
      </c>
      <c r="F93" s="2">
        <v>119.5</v>
      </c>
      <c r="G93" s="2">
        <v>127.7</v>
      </c>
      <c r="H93" s="2">
        <v>106.3</v>
      </c>
      <c r="I93" s="2">
        <v>132.80000000000001</v>
      </c>
      <c r="J93" s="2">
        <v>153.5</v>
      </c>
      <c r="K93" s="2">
        <v>149.5</v>
      </c>
      <c r="L93" s="2">
        <v>85.7</v>
      </c>
      <c r="M93" s="2">
        <v>131.5</v>
      </c>
      <c r="N93" s="2">
        <v>118.3</v>
      </c>
      <c r="O93" s="2">
        <v>131.1</v>
      </c>
      <c r="P93" s="2">
        <v>129.5</v>
      </c>
      <c r="Q93" s="2">
        <v>133.1</v>
      </c>
      <c r="R93" s="2">
        <v>123.5</v>
      </c>
      <c r="S93" s="2">
        <v>117.9</v>
      </c>
      <c r="T93" s="2">
        <v>122.7</v>
      </c>
      <c r="U93" s="2">
        <v>119.9</v>
      </c>
      <c r="V93" s="2">
        <v>115.3</v>
      </c>
      <c r="W93" s="2">
        <v>119.5</v>
      </c>
      <c r="X93" s="2">
        <v>116</v>
      </c>
      <c r="Y93" s="2">
        <v>111.5</v>
      </c>
      <c r="Z93" s="2">
        <v>116.6</v>
      </c>
      <c r="AA93" s="2">
        <v>125.4</v>
      </c>
      <c r="AB93" s="2">
        <v>111.7</v>
      </c>
      <c r="AC93" s="2">
        <v>116.3</v>
      </c>
      <c r="AD93" s="2">
        <v>122.4</v>
      </c>
    </row>
    <row r="94" spans="1:30" ht="26.5" thickBot="1" x14ac:dyDescent="0.4">
      <c r="A94" s="1" t="s">
        <v>34</v>
      </c>
      <c r="B94" s="2">
        <v>2015</v>
      </c>
      <c r="C94" s="1" t="s">
        <v>40</v>
      </c>
      <c r="D94" s="2">
        <v>123.7</v>
      </c>
      <c r="E94" s="2">
        <v>132.5</v>
      </c>
      <c r="F94" s="2">
        <v>121</v>
      </c>
      <c r="G94" s="2">
        <v>128.30000000000001</v>
      </c>
      <c r="H94" s="2">
        <v>110.9</v>
      </c>
      <c r="I94" s="2">
        <v>133.1</v>
      </c>
      <c r="J94" s="2">
        <v>145.1</v>
      </c>
      <c r="K94" s="2">
        <v>139.1</v>
      </c>
      <c r="L94" s="2">
        <v>91.3</v>
      </c>
      <c r="M94" s="2">
        <v>126.1</v>
      </c>
      <c r="N94" s="2">
        <v>119.9</v>
      </c>
      <c r="O94" s="2">
        <v>131.4</v>
      </c>
      <c r="P94" s="2">
        <v>128.19999999999999</v>
      </c>
      <c r="Q94" s="2">
        <v>130.4</v>
      </c>
      <c r="R94" s="2">
        <v>126.7</v>
      </c>
      <c r="S94" s="2">
        <v>122.3</v>
      </c>
      <c r="T94" s="2">
        <v>126.1</v>
      </c>
      <c r="U94" s="2">
        <v>119.9</v>
      </c>
      <c r="V94" s="2">
        <v>120.1</v>
      </c>
      <c r="W94" s="2">
        <v>121.3</v>
      </c>
      <c r="X94" s="2">
        <v>119</v>
      </c>
      <c r="Y94" s="2">
        <v>112.7</v>
      </c>
      <c r="Z94" s="2">
        <v>117.2</v>
      </c>
      <c r="AA94" s="2">
        <v>124.4</v>
      </c>
      <c r="AB94" s="2">
        <v>112.3</v>
      </c>
      <c r="AC94" s="2">
        <v>117.2</v>
      </c>
      <c r="AD94" s="2">
        <v>123.6</v>
      </c>
    </row>
    <row r="95" spans="1:30" ht="15" thickBot="1" x14ac:dyDescent="0.4">
      <c r="A95" s="1" t="s">
        <v>30</v>
      </c>
      <c r="B95" s="2">
        <v>2015</v>
      </c>
      <c r="C95" s="1" t="s">
        <v>41</v>
      </c>
      <c r="D95" s="2">
        <v>124.7</v>
      </c>
      <c r="E95" s="2">
        <v>131.30000000000001</v>
      </c>
      <c r="F95" s="2">
        <v>121.3</v>
      </c>
      <c r="G95" s="2">
        <v>128.80000000000001</v>
      </c>
      <c r="H95" s="2">
        <v>114</v>
      </c>
      <c r="I95" s="2">
        <v>134.19999999999999</v>
      </c>
      <c r="J95" s="2">
        <v>153.6</v>
      </c>
      <c r="K95" s="2">
        <v>137.9</v>
      </c>
      <c r="L95" s="2">
        <v>93.1</v>
      </c>
      <c r="M95" s="2">
        <v>123.9</v>
      </c>
      <c r="N95" s="2">
        <v>121.5</v>
      </c>
      <c r="O95" s="2">
        <v>132.5</v>
      </c>
      <c r="P95" s="2">
        <v>129.80000000000001</v>
      </c>
      <c r="Q95" s="2">
        <v>130.1</v>
      </c>
      <c r="R95" s="2">
        <v>129.5</v>
      </c>
      <c r="S95" s="2">
        <v>126.3</v>
      </c>
      <c r="T95" s="2">
        <v>129</v>
      </c>
      <c r="U95" s="1" t="s">
        <v>32</v>
      </c>
      <c r="V95" s="2">
        <v>123.8</v>
      </c>
      <c r="W95" s="2">
        <v>123.7</v>
      </c>
      <c r="X95" s="2">
        <v>121.1</v>
      </c>
      <c r="Y95" s="2">
        <v>113.6</v>
      </c>
      <c r="Z95" s="2">
        <v>118.5</v>
      </c>
      <c r="AA95" s="2">
        <v>123.6</v>
      </c>
      <c r="AB95" s="2">
        <v>112.5</v>
      </c>
      <c r="AC95" s="2">
        <v>118.2</v>
      </c>
      <c r="AD95" s="2">
        <v>126.1</v>
      </c>
    </row>
    <row r="96" spans="1:30" ht="15" thickBot="1" x14ac:dyDescent="0.4">
      <c r="A96" s="1" t="s">
        <v>33</v>
      </c>
      <c r="B96" s="2">
        <v>2015</v>
      </c>
      <c r="C96" s="1" t="s">
        <v>41</v>
      </c>
      <c r="D96" s="2">
        <v>123.1</v>
      </c>
      <c r="E96" s="2">
        <v>131.69999999999999</v>
      </c>
      <c r="F96" s="2">
        <v>118.1</v>
      </c>
      <c r="G96" s="2">
        <v>128</v>
      </c>
      <c r="H96" s="2">
        <v>106.8</v>
      </c>
      <c r="I96" s="2">
        <v>130.1</v>
      </c>
      <c r="J96" s="2">
        <v>165.5</v>
      </c>
      <c r="K96" s="2">
        <v>156</v>
      </c>
      <c r="L96" s="2">
        <v>85.3</v>
      </c>
      <c r="M96" s="2">
        <v>132.69999999999999</v>
      </c>
      <c r="N96" s="2">
        <v>118.8</v>
      </c>
      <c r="O96" s="2">
        <v>131.69999999999999</v>
      </c>
      <c r="P96" s="2">
        <v>131.1</v>
      </c>
      <c r="Q96" s="2">
        <v>134.19999999999999</v>
      </c>
      <c r="R96" s="2">
        <v>123.7</v>
      </c>
      <c r="S96" s="2">
        <v>118.2</v>
      </c>
      <c r="T96" s="2">
        <v>122.9</v>
      </c>
      <c r="U96" s="2">
        <v>120.9</v>
      </c>
      <c r="V96" s="2">
        <v>115.3</v>
      </c>
      <c r="W96" s="2">
        <v>120</v>
      </c>
      <c r="X96" s="2">
        <v>116.6</v>
      </c>
      <c r="Y96" s="2">
        <v>109.9</v>
      </c>
      <c r="Z96" s="2">
        <v>117.2</v>
      </c>
      <c r="AA96" s="2">
        <v>126.2</v>
      </c>
      <c r="AB96" s="2">
        <v>112</v>
      </c>
      <c r="AC96" s="2">
        <v>116.2</v>
      </c>
      <c r="AD96" s="2">
        <v>123.2</v>
      </c>
    </row>
    <row r="97" spans="1:30" ht="26.5" thickBot="1" x14ac:dyDescent="0.4">
      <c r="A97" s="1" t="s">
        <v>34</v>
      </c>
      <c r="B97" s="2">
        <v>2015</v>
      </c>
      <c r="C97" s="1" t="s">
        <v>41</v>
      </c>
      <c r="D97" s="2">
        <v>124.2</v>
      </c>
      <c r="E97" s="2">
        <v>131.4</v>
      </c>
      <c r="F97" s="2">
        <v>120.1</v>
      </c>
      <c r="G97" s="2">
        <v>128.5</v>
      </c>
      <c r="H97" s="2">
        <v>111.4</v>
      </c>
      <c r="I97" s="2">
        <v>132.30000000000001</v>
      </c>
      <c r="J97" s="2">
        <v>157.6</v>
      </c>
      <c r="K97" s="2">
        <v>144</v>
      </c>
      <c r="L97" s="2">
        <v>90.5</v>
      </c>
      <c r="M97" s="2">
        <v>126.8</v>
      </c>
      <c r="N97" s="2">
        <v>120.4</v>
      </c>
      <c r="O97" s="2">
        <v>132.1</v>
      </c>
      <c r="P97" s="2">
        <v>130.30000000000001</v>
      </c>
      <c r="Q97" s="2">
        <v>131.19999999999999</v>
      </c>
      <c r="R97" s="2">
        <v>127.2</v>
      </c>
      <c r="S97" s="2">
        <v>122.9</v>
      </c>
      <c r="T97" s="2">
        <v>126.6</v>
      </c>
      <c r="U97" s="2">
        <v>120.9</v>
      </c>
      <c r="V97" s="2">
        <v>120.6</v>
      </c>
      <c r="W97" s="2">
        <v>122</v>
      </c>
      <c r="X97" s="2">
        <v>119.4</v>
      </c>
      <c r="Y97" s="2">
        <v>111.7</v>
      </c>
      <c r="Z97" s="2">
        <v>117.8</v>
      </c>
      <c r="AA97" s="2">
        <v>125.1</v>
      </c>
      <c r="AB97" s="2">
        <v>112.3</v>
      </c>
      <c r="AC97" s="2">
        <v>117.2</v>
      </c>
      <c r="AD97" s="2">
        <v>124.8</v>
      </c>
    </row>
    <row r="98" spans="1:30" ht="26.5" thickBot="1" x14ac:dyDescent="0.4">
      <c r="A98" s="1" t="s">
        <v>30</v>
      </c>
      <c r="B98" s="2">
        <v>2015</v>
      </c>
      <c r="C98" s="1" t="s">
        <v>42</v>
      </c>
      <c r="D98" s="2">
        <v>125.1</v>
      </c>
      <c r="E98" s="2">
        <v>131.1</v>
      </c>
      <c r="F98" s="2">
        <v>120.7</v>
      </c>
      <c r="G98" s="2">
        <v>129.19999999999999</v>
      </c>
      <c r="H98" s="2">
        <v>114.7</v>
      </c>
      <c r="I98" s="2">
        <v>132.30000000000001</v>
      </c>
      <c r="J98" s="2">
        <v>158.9</v>
      </c>
      <c r="K98" s="2">
        <v>142.1</v>
      </c>
      <c r="L98" s="2">
        <v>92.5</v>
      </c>
      <c r="M98" s="2">
        <v>125.4</v>
      </c>
      <c r="N98" s="2">
        <v>121.9</v>
      </c>
      <c r="O98" s="2">
        <v>132.69999999999999</v>
      </c>
      <c r="P98" s="2">
        <v>131</v>
      </c>
      <c r="Q98" s="2">
        <v>131</v>
      </c>
      <c r="R98" s="2">
        <v>130.4</v>
      </c>
      <c r="S98" s="2">
        <v>126.8</v>
      </c>
      <c r="T98" s="2">
        <v>129.9</v>
      </c>
      <c r="U98" s="1" t="s">
        <v>32</v>
      </c>
      <c r="V98" s="2">
        <v>123.7</v>
      </c>
      <c r="W98" s="2">
        <v>124.5</v>
      </c>
      <c r="X98" s="2">
        <v>121.4</v>
      </c>
      <c r="Y98" s="2">
        <v>113.8</v>
      </c>
      <c r="Z98" s="2">
        <v>119.6</v>
      </c>
      <c r="AA98" s="2">
        <v>124.5</v>
      </c>
      <c r="AB98" s="2">
        <v>113.7</v>
      </c>
      <c r="AC98" s="2">
        <v>118.8</v>
      </c>
      <c r="AD98" s="2">
        <v>127</v>
      </c>
    </row>
    <row r="99" spans="1:30" ht="26.5" thickBot="1" x14ac:dyDescent="0.4">
      <c r="A99" s="1" t="s">
        <v>33</v>
      </c>
      <c r="B99" s="2">
        <v>2015</v>
      </c>
      <c r="C99" s="1" t="s">
        <v>42</v>
      </c>
      <c r="D99" s="2">
        <v>123.4</v>
      </c>
      <c r="E99" s="2">
        <v>129</v>
      </c>
      <c r="F99" s="2">
        <v>115.6</v>
      </c>
      <c r="G99" s="2">
        <v>128.30000000000001</v>
      </c>
      <c r="H99" s="2">
        <v>107</v>
      </c>
      <c r="I99" s="2">
        <v>124</v>
      </c>
      <c r="J99" s="2">
        <v>168.5</v>
      </c>
      <c r="K99" s="2">
        <v>165.4</v>
      </c>
      <c r="L99" s="2">
        <v>86.3</v>
      </c>
      <c r="M99" s="2">
        <v>134.4</v>
      </c>
      <c r="N99" s="2">
        <v>119.1</v>
      </c>
      <c r="O99" s="2">
        <v>132.30000000000001</v>
      </c>
      <c r="P99" s="2">
        <v>131.5</v>
      </c>
      <c r="Q99" s="2">
        <v>134.69999999999999</v>
      </c>
      <c r="R99" s="2">
        <v>124</v>
      </c>
      <c r="S99" s="2">
        <v>118.6</v>
      </c>
      <c r="T99" s="2">
        <v>123.2</v>
      </c>
      <c r="U99" s="2">
        <v>121.6</v>
      </c>
      <c r="V99" s="2">
        <v>115.1</v>
      </c>
      <c r="W99" s="2">
        <v>120.4</v>
      </c>
      <c r="X99" s="2">
        <v>117.1</v>
      </c>
      <c r="Y99" s="2">
        <v>109.1</v>
      </c>
      <c r="Z99" s="2">
        <v>117.3</v>
      </c>
      <c r="AA99" s="2">
        <v>126.5</v>
      </c>
      <c r="AB99" s="2">
        <v>112.9</v>
      </c>
      <c r="AC99" s="2">
        <v>116.2</v>
      </c>
      <c r="AD99" s="2">
        <v>123.5</v>
      </c>
    </row>
    <row r="100" spans="1:30" ht="26.5" thickBot="1" x14ac:dyDescent="0.4">
      <c r="A100" s="1" t="s">
        <v>34</v>
      </c>
      <c r="B100" s="2">
        <v>2015</v>
      </c>
      <c r="C100" s="1" t="s">
        <v>42</v>
      </c>
      <c r="D100" s="2">
        <v>124.6</v>
      </c>
      <c r="E100" s="2">
        <v>130.4</v>
      </c>
      <c r="F100" s="2">
        <v>118.7</v>
      </c>
      <c r="G100" s="2">
        <v>128.9</v>
      </c>
      <c r="H100" s="2">
        <v>111.9</v>
      </c>
      <c r="I100" s="2">
        <v>128.4</v>
      </c>
      <c r="J100" s="2">
        <v>162.19999999999999</v>
      </c>
      <c r="K100" s="2">
        <v>150</v>
      </c>
      <c r="L100" s="2">
        <v>90.4</v>
      </c>
      <c r="M100" s="2">
        <v>128.4</v>
      </c>
      <c r="N100" s="2">
        <v>120.7</v>
      </c>
      <c r="O100" s="2">
        <v>132.5</v>
      </c>
      <c r="P100" s="2">
        <v>131.19999999999999</v>
      </c>
      <c r="Q100" s="2">
        <v>132</v>
      </c>
      <c r="R100" s="2">
        <v>127.9</v>
      </c>
      <c r="S100" s="2">
        <v>123.4</v>
      </c>
      <c r="T100" s="2">
        <v>127.2</v>
      </c>
      <c r="U100" s="2">
        <v>121.6</v>
      </c>
      <c r="V100" s="2">
        <v>120.4</v>
      </c>
      <c r="W100" s="2">
        <v>122.6</v>
      </c>
      <c r="X100" s="2">
        <v>119.8</v>
      </c>
      <c r="Y100" s="2">
        <v>111.3</v>
      </c>
      <c r="Z100" s="2">
        <v>118.3</v>
      </c>
      <c r="AA100" s="2">
        <v>125.7</v>
      </c>
      <c r="AB100" s="2">
        <v>113.4</v>
      </c>
      <c r="AC100" s="2">
        <v>117.5</v>
      </c>
      <c r="AD100" s="2">
        <v>125.4</v>
      </c>
    </row>
    <row r="101" spans="1:30" ht="15" thickBot="1" x14ac:dyDescent="0.4">
      <c r="A101" s="1" t="s">
        <v>30</v>
      </c>
      <c r="B101" s="2">
        <v>2015</v>
      </c>
      <c r="C101" s="1" t="s">
        <v>43</v>
      </c>
      <c r="D101" s="2">
        <v>125.6</v>
      </c>
      <c r="E101" s="2">
        <v>130.4</v>
      </c>
      <c r="F101" s="2">
        <v>120.8</v>
      </c>
      <c r="G101" s="2">
        <v>129.4</v>
      </c>
      <c r="H101" s="2">
        <v>115.8</v>
      </c>
      <c r="I101" s="2">
        <v>133.19999999999999</v>
      </c>
      <c r="J101" s="2">
        <v>157.69999999999999</v>
      </c>
      <c r="K101" s="2">
        <v>154.19999999999999</v>
      </c>
      <c r="L101" s="2">
        <v>93.7</v>
      </c>
      <c r="M101" s="2">
        <v>126.6</v>
      </c>
      <c r="N101" s="2">
        <v>122.3</v>
      </c>
      <c r="O101" s="2">
        <v>133.1</v>
      </c>
      <c r="P101" s="2">
        <v>131.80000000000001</v>
      </c>
      <c r="Q101" s="2">
        <v>131.5</v>
      </c>
      <c r="R101" s="2">
        <v>131.1</v>
      </c>
      <c r="S101" s="2">
        <v>127.3</v>
      </c>
      <c r="T101" s="2">
        <v>130.6</v>
      </c>
      <c r="U101" s="1" t="s">
        <v>32</v>
      </c>
      <c r="V101" s="2">
        <v>124.4</v>
      </c>
      <c r="W101" s="2">
        <v>125.1</v>
      </c>
      <c r="X101" s="2">
        <v>122</v>
      </c>
      <c r="Y101" s="2">
        <v>113.8</v>
      </c>
      <c r="Z101" s="2">
        <v>120.1</v>
      </c>
      <c r="AA101" s="2">
        <v>125.1</v>
      </c>
      <c r="AB101" s="2">
        <v>114.2</v>
      </c>
      <c r="AC101" s="2">
        <v>119.2</v>
      </c>
      <c r="AD101" s="2">
        <v>127.7</v>
      </c>
    </row>
    <row r="102" spans="1:30" ht="15" thickBot="1" x14ac:dyDescent="0.4">
      <c r="A102" s="1" t="s">
        <v>33</v>
      </c>
      <c r="B102" s="2">
        <v>2015</v>
      </c>
      <c r="C102" s="1" t="s">
        <v>43</v>
      </c>
      <c r="D102" s="2">
        <v>123.6</v>
      </c>
      <c r="E102" s="2">
        <v>128.6</v>
      </c>
      <c r="F102" s="2">
        <v>115.9</v>
      </c>
      <c r="G102" s="2">
        <v>128.5</v>
      </c>
      <c r="H102" s="2">
        <v>109</v>
      </c>
      <c r="I102" s="2">
        <v>124.1</v>
      </c>
      <c r="J102" s="2">
        <v>165.8</v>
      </c>
      <c r="K102" s="2">
        <v>187.2</v>
      </c>
      <c r="L102" s="2">
        <v>89.4</v>
      </c>
      <c r="M102" s="2">
        <v>135.80000000000001</v>
      </c>
      <c r="N102" s="2">
        <v>119.4</v>
      </c>
      <c r="O102" s="2">
        <v>132.9</v>
      </c>
      <c r="P102" s="2">
        <v>132.6</v>
      </c>
      <c r="Q102" s="2">
        <v>135.30000000000001</v>
      </c>
      <c r="R102" s="2">
        <v>124.4</v>
      </c>
      <c r="S102" s="2">
        <v>118.8</v>
      </c>
      <c r="T102" s="2">
        <v>123.6</v>
      </c>
      <c r="U102" s="2">
        <v>122.4</v>
      </c>
      <c r="V102" s="2">
        <v>114.9</v>
      </c>
      <c r="W102" s="2">
        <v>120.7</v>
      </c>
      <c r="X102" s="2">
        <v>117.7</v>
      </c>
      <c r="Y102" s="2">
        <v>109.3</v>
      </c>
      <c r="Z102" s="2">
        <v>117.7</v>
      </c>
      <c r="AA102" s="2">
        <v>126.5</v>
      </c>
      <c r="AB102" s="2">
        <v>113.5</v>
      </c>
      <c r="AC102" s="2">
        <v>116.5</v>
      </c>
      <c r="AD102" s="2">
        <v>124.2</v>
      </c>
    </row>
    <row r="103" spans="1:30" ht="26.5" thickBot="1" x14ac:dyDescent="0.4">
      <c r="A103" s="1" t="s">
        <v>34</v>
      </c>
      <c r="B103" s="2">
        <v>2015</v>
      </c>
      <c r="C103" s="1" t="s">
        <v>43</v>
      </c>
      <c r="D103" s="2">
        <v>125</v>
      </c>
      <c r="E103" s="2">
        <v>129.80000000000001</v>
      </c>
      <c r="F103" s="2">
        <v>118.9</v>
      </c>
      <c r="G103" s="2">
        <v>129.1</v>
      </c>
      <c r="H103" s="2">
        <v>113.3</v>
      </c>
      <c r="I103" s="2">
        <v>129</v>
      </c>
      <c r="J103" s="2">
        <v>160.4</v>
      </c>
      <c r="K103" s="2">
        <v>165.3</v>
      </c>
      <c r="L103" s="2">
        <v>92.3</v>
      </c>
      <c r="M103" s="2">
        <v>129.69999999999999</v>
      </c>
      <c r="N103" s="2">
        <v>121.1</v>
      </c>
      <c r="O103" s="2">
        <v>133</v>
      </c>
      <c r="P103" s="2">
        <v>132.1</v>
      </c>
      <c r="Q103" s="2">
        <v>132.5</v>
      </c>
      <c r="R103" s="2">
        <v>128.5</v>
      </c>
      <c r="S103" s="2">
        <v>123.8</v>
      </c>
      <c r="T103" s="2">
        <v>127.8</v>
      </c>
      <c r="U103" s="2">
        <v>122.4</v>
      </c>
      <c r="V103" s="2">
        <v>120.8</v>
      </c>
      <c r="W103" s="2">
        <v>123</v>
      </c>
      <c r="X103" s="2">
        <v>120.4</v>
      </c>
      <c r="Y103" s="2">
        <v>111.4</v>
      </c>
      <c r="Z103" s="2">
        <v>118.7</v>
      </c>
      <c r="AA103" s="2">
        <v>125.9</v>
      </c>
      <c r="AB103" s="2">
        <v>113.9</v>
      </c>
      <c r="AC103" s="2">
        <v>117.9</v>
      </c>
      <c r="AD103" s="2">
        <v>126.1</v>
      </c>
    </row>
    <row r="104" spans="1:30" ht="26.5" thickBot="1" x14ac:dyDescent="0.4">
      <c r="A104" s="1" t="s">
        <v>30</v>
      </c>
      <c r="B104" s="2">
        <v>2015</v>
      </c>
      <c r="C104" s="1" t="s">
        <v>44</v>
      </c>
      <c r="D104" s="2">
        <v>126.1</v>
      </c>
      <c r="E104" s="2">
        <v>130.6</v>
      </c>
      <c r="F104" s="2">
        <v>121.7</v>
      </c>
      <c r="G104" s="2">
        <v>129.5</v>
      </c>
      <c r="H104" s="2">
        <v>117.8</v>
      </c>
      <c r="I104" s="2">
        <v>132.1</v>
      </c>
      <c r="J104" s="2">
        <v>155.19999999999999</v>
      </c>
      <c r="K104" s="2">
        <v>160.80000000000001</v>
      </c>
      <c r="L104" s="2">
        <v>94.5</v>
      </c>
      <c r="M104" s="2">
        <v>128.30000000000001</v>
      </c>
      <c r="N104" s="2">
        <v>123.1</v>
      </c>
      <c r="O104" s="2">
        <v>134.19999999999999</v>
      </c>
      <c r="P104" s="2">
        <v>132.4</v>
      </c>
      <c r="Q104" s="2">
        <v>132.19999999999999</v>
      </c>
      <c r="R104" s="2">
        <v>132.1</v>
      </c>
      <c r="S104" s="2">
        <v>128.19999999999999</v>
      </c>
      <c r="T104" s="2">
        <v>131.5</v>
      </c>
      <c r="U104" s="1" t="s">
        <v>32</v>
      </c>
      <c r="V104" s="2">
        <v>125.6</v>
      </c>
      <c r="W104" s="2">
        <v>125.6</v>
      </c>
      <c r="X104" s="2">
        <v>122.6</v>
      </c>
      <c r="Y104" s="2">
        <v>114</v>
      </c>
      <c r="Z104" s="2">
        <v>120.9</v>
      </c>
      <c r="AA104" s="2">
        <v>125.8</v>
      </c>
      <c r="AB104" s="2">
        <v>114.2</v>
      </c>
      <c r="AC104" s="2">
        <v>119.6</v>
      </c>
      <c r="AD104" s="2">
        <v>128.30000000000001</v>
      </c>
    </row>
    <row r="105" spans="1:30" ht="26.5" thickBot="1" x14ac:dyDescent="0.4">
      <c r="A105" s="1" t="s">
        <v>33</v>
      </c>
      <c r="B105" s="2">
        <v>2015</v>
      </c>
      <c r="C105" s="1" t="s">
        <v>44</v>
      </c>
      <c r="D105" s="2">
        <v>124</v>
      </c>
      <c r="E105" s="2">
        <v>129.80000000000001</v>
      </c>
      <c r="F105" s="2">
        <v>121.5</v>
      </c>
      <c r="G105" s="2">
        <v>128.6</v>
      </c>
      <c r="H105" s="2">
        <v>110</v>
      </c>
      <c r="I105" s="2">
        <v>123.7</v>
      </c>
      <c r="J105" s="2">
        <v>164.6</v>
      </c>
      <c r="K105" s="2">
        <v>191.6</v>
      </c>
      <c r="L105" s="2">
        <v>90.8</v>
      </c>
      <c r="M105" s="2">
        <v>137.1</v>
      </c>
      <c r="N105" s="2">
        <v>119.8</v>
      </c>
      <c r="O105" s="2">
        <v>133.69999999999999</v>
      </c>
      <c r="P105" s="2">
        <v>133.30000000000001</v>
      </c>
      <c r="Q105" s="2">
        <v>137.6</v>
      </c>
      <c r="R105" s="2">
        <v>125</v>
      </c>
      <c r="S105" s="2">
        <v>119.3</v>
      </c>
      <c r="T105" s="2">
        <v>124.2</v>
      </c>
      <c r="U105" s="2">
        <v>122.9</v>
      </c>
      <c r="V105" s="2">
        <v>115.1</v>
      </c>
      <c r="W105" s="2">
        <v>121</v>
      </c>
      <c r="X105" s="2">
        <v>118.1</v>
      </c>
      <c r="Y105" s="2">
        <v>109.3</v>
      </c>
      <c r="Z105" s="2">
        <v>117.9</v>
      </c>
      <c r="AA105" s="2">
        <v>126.6</v>
      </c>
      <c r="AB105" s="2">
        <v>113.3</v>
      </c>
      <c r="AC105" s="2">
        <v>116.6</v>
      </c>
      <c r="AD105" s="2">
        <v>124.6</v>
      </c>
    </row>
    <row r="106" spans="1:30" ht="26.5" thickBot="1" x14ac:dyDescent="0.4">
      <c r="A106" s="1" t="s">
        <v>34</v>
      </c>
      <c r="B106" s="2">
        <v>2015</v>
      </c>
      <c r="C106" s="1" t="s">
        <v>44</v>
      </c>
      <c r="D106" s="2">
        <v>125.4</v>
      </c>
      <c r="E106" s="2">
        <v>130.30000000000001</v>
      </c>
      <c r="F106" s="2">
        <v>121.6</v>
      </c>
      <c r="G106" s="2">
        <v>129.19999999999999</v>
      </c>
      <c r="H106" s="2">
        <v>114.9</v>
      </c>
      <c r="I106" s="2">
        <v>128.19999999999999</v>
      </c>
      <c r="J106" s="2">
        <v>158.4</v>
      </c>
      <c r="K106" s="2">
        <v>171.2</v>
      </c>
      <c r="L106" s="2">
        <v>93.3</v>
      </c>
      <c r="M106" s="2">
        <v>131.19999999999999</v>
      </c>
      <c r="N106" s="2">
        <v>121.7</v>
      </c>
      <c r="O106" s="2">
        <v>134</v>
      </c>
      <c r="P106" s="2">
        <v>132.69999999999999</v>
      </c>
      <c r="Q106" s="2">
        <v>133.6</v>
      </c>
      <c r="R106" s="2">
        <v>129.30000000000001</v>
      </c>
      <c r="S106" s="2">
        <v>124.5</v>
      </c>
      <c r="T106" s="2">
        <v>128.6</v>
      </c>
      <c r="U106" s="2">
        <v>122.9</v>
      </c>
      <c r="V106" s="2">
        <v>121.6</v>
      </c>
      <c r="W106" s="2">
        <v>123.4</v>
      </c>
      <c r="X106" s="2">
        <v>120.9</v>
      </c>
      <c r="Y106" s="2">
        <v>111.5</v>
      </c>
      <c r="Z106" s="2">
        <v>119.2</v>
      </c>
      <c r="AA106" s="2">
        <v>126.3</v>
      </c>
      <c r="AB106" s="2">
        <v>113.8</v>
      </c>
      <c r="AC106" s="2">
        <v>118.1</v>
      </c>
      <c r="AD106" s="2">
        <v>126.6</v>
      </c>
    </row>
    <row r="107" spans="1:30" ht="26.5" thickBot="1" x14ac:dyDescent="0.4">
      <c r="A107" s="1" t="s">
        <v>30</v>
      </c>
      <c r="B107" s="2">
        <v>2015</v>
      </c>
      <c r="C107" s="1" t="s">
        <v>45</v>
      </c>
      <c r="D107" s="2">
        <v>126.3</v>
      </c>
      <c r="E107" s="2">
        <v>131.30000000000001</v>
      </c>
      <c r="F107" s="2">
        <v>123.3</v>
      </c>
      <c r="G107" s="2">
        <v>129.80000000000001</v>
      </c>
      <c r="H107" s="2">
        <v>118.3</v>
      </c>
      <c r="I107" s="2">
        <v>131.6</v>
      </c>
      <c r="J107" s="2">
        <v>145.5</v>
      </c>
      <c r="K107" s="2">
        <v>162.1</v>
      </c>
      <c r="L107" s="2">
        <v>95.4</v>
      </c>
      <c r="M107" s="2">
        <v>128.9</v>
      </c>
      <c r="N107" s="2">
        <v>123.3</v>
      </c>
      <c r="O107" s="2">
        <v>135.1</v>
      </c>
      <c r="P107" s="2">
        <v>131.4</v>
      </c>
      <c r="Q107" s="2">
        <v>133.1</v>
      </c>
      <c r="R107" s="2">
        <v>132.5</v>
      </c>
      <c r="S107" s="2">
        <v>128.5</v>
      </c>
      <c r="T107" s="2">
        <v>131.9</v>
      </c>
      <c r="U107" s="1" t="s">
        <v>32</v>
      </c>
      <c r="V107" s="2">
        <v>125.7</v>
      </c>
      <c r="W107" s="2">
        <v>126</v>
      </c>
      <c r="X107" s="2">
        <v>123.1</v>
      </c>
      <c r="Y107" s="2">
        <v>114</v>
      </c>
      <c r="Z107" s="2">
        <v>121.6</v>
      </c>
      <c r="AA107" s="2">
        <v>125.6</v>
      </c>
      <c r="AB107" s="2">
        <v>114.1</v>
      </c>
      <c r="AC107" s="2">
        <v>119.8</v>
      </c>
      <c r="AD107" s="2">
        <v>127.9</v>
      </c>
    </row>
    <row r="108" spans="1:30" ht="26.5" thickBot="1" x14ac:dyDescent="0.4">
      <c r="A108" s="1" t="s">
        <v>33</v>
      </c>
      <c r="B108" s="2">
        <v>2015</v>
      </c>
      <c r="C108" s="1" t="s">
        <v>45</v>
      </c>
      <c r="D108" s="2">
        <v>124.3</v>
      </c>
      <c r="E108" s="2">
        <v>131.69999999999999</v>
      </c>
      <c r="F108" s="2">
        <v>127.1</v>
      </c>
      <c r="G108" s="2">
        <v>128.6</v>
      </c>
      <c r="H108" s="2">
        <v>110</v>
      </c>
      <c r="I108" s="2">
        <v>120.8</v>
      </c>
      <c r="J108" s="2">
        <v>149</v>
      </c>
      <c r="K108" s="2">
        <v>190.1</v>
      </c>
      <c r="L108" s="2">
        <v>92.7</v>
      </c>
      <c r="M108" s="2">
        <v>138.6</v>
      </c>
      <c r="N108" s="2">
        <v>120.2</v>
      </c>
      <c r="O108" s="2">
        <v>134.19999999999999</v>
      </c>
      <c r="P108" s="2">
        <v>131.5</v>
      </c>
      <c r="Q108" s="2">
        <v>138.19999999999999</v>
      </c>
      <c r="R108" s="2">
        <v>125.4</v>
      </c>
      <c r="S108" s="2">
        <v>119.5</v>
      </c>
      <c r="T108" s="2">
        <v>124.5</v>
      </c>
      <c r="U108" s="2">
        <v>122.4</v>
      </c>
      <c r="V108" s="2">
        <v>116</v>
      </c>
      <c r="W108" s="2">
        <v>121</v>
      </c>
      <c r="X108" s="2">
        <v>118.6</v>
      </c>
      <c r="Y108" s="2">
        <v>109.3</v>
      </c>
      <c r="Z108" s="2">
        <v>118.1</v>
      </c>
      <c r="AA108" s="2">
        <v>126.6</v>
      </c>
      <c r="AB108" s="2">
        <v>113.2</v>
      </c>
      <c r="AC108" s="2">
        <v>116.7</v>
      </c>
      <c r="AD108" s="2">
        <v>124</v>
      </c>
    </row>
    <row r="109" spans="1:30" ht="26.5" thickBot="1" x14ac:dyDescent="0.4">
      <c r="A109" s="1" t="s">
        <v>34</v>
      </c>
      <c r="B109" s="2">
        <v>2015</v>
      </c>
      <c r="C109" s="1" t="s">
        <v>45</v>
      </c>
      <c r="D109" s="2">
        <v>125.7</v>
      </c>
      <c r="E109" s="2">
        <v>131.4</v>
      </c>
      <c r="F109" s="2">
        <v>124.8</v>
      </c>
      <c r="G109" s="2">
        <v>129.4</v>
      </c>
      <c r="H109" s="2">
        <v>115.3</v>
      </c>
      <c r="I109" s="2">
        <v>126.6</v>
      </c>
      <c r="J109" s="2">
        <v>146.69999999999999</v>
      </c>
      <c r="K109" s="2">
        <v>171.5</v>
      </c>
      <c r="L109" s="2">
        <v>94.5</v>
      </c>
      <c r="M109" s="2">
        <v>132.1</v>
      </c>
      <c r="N109" s="2">
        <v>122</v>
      </c>
      <c r="O109" s="2">
        <v>134.69999999999999</v>
      </c>
      <c r="P109" s="2">
        <v>131.4</v>
      </c>
      <c r="Q109" s="2">
        <v>134.5</v>
      </c>
      <c r="R109" s="2">
        <v>129.69999999999999</v>
      </c>
      <c r="S109" s="2">
        <v>124.8</v>
      </c>
      <c r="T109" s="2">
        <v>129</v>
      </c>
      <c r="U109" s="2">
        <v>122.4</v>
      </c>
      <c r="V109" s="2">
        <v>122</v>
      </c>
      <c r="W109" s="2">
        <v>123.6</v>
      </c>
      <c r="X109" s="2">
        <v>121.4</v>
      </c>
      <c r="Y109" s="2">
        <v>111.5</v>
      </c>
      <c r="Z109" s="2">
        <v>119.6</v>
      </c>
      <c r="AA109" s="2">
        <v>126.2</v>
      </c>
      <c r="AB109" s="2">
        <v>113.7</v>
      </c>
      <c r="AC109" s="2">
        <v>118.3</v>
      </c>
      <c r="AD109" s="2">
        <v>126.1</v>
      </c>
    </row>
    <row r="110" spans="1:30" ht="15" thickBot="1" x14ac:dyDescent="0.4">
      <c r="A110" s="1" t="s">
        <v>30</v>
      </c>
      <c r="B110" s="2">
        <v>2016</v>
      </c>
      <c r="C110" s="1" t="s">
        <v>31</v>
      </c>
      <c r="D110" s="2">
        <v>126.8</v>
      </c>
      <c r="E110" s="2">
        <v>133.19999999999999</v>
      </c>
      <c r="F110" s="2">
        <v>126.5</v>
      </c>
      <c r="G110" s="2">
        <v>130.30000000000001</v>
      </c>
      <c r="H110" s="2">
        <v>118.9</v>
      </c>
      <c r="I110" s="2">
        <v>131.6</v>
      </c>
      <c r="J110" s="2">
        <v>140.1</v>
      </c>
      <c r="K110" s="2">
        <v>163.80000000000001</v>
      </c>
      <c r="L110" s="2">
        <v>97.7</v>
      </c>
      <c r="M110" s="2">
        <v>129.6</v>
      </c>
      <c r="N110" s="2">
        <v>124.3</v>
      </c>
      <c r="O110" s="2">
        <v>135.9</v>
      </c>
      <c r="P110" s="2">
        <v>131.4</v>
      </c>
      <c r="Q110" s="2">
        <v>133.6</v>
      </c>
      <c r="R110" s="2">
        <v>133.19999999999999</v>
      </c>
      <c r="S110" s="2">
        <v>128.9</v>
      </c>
      <c r="T110" s="2">
        <v>132.6</v>
      </c>
      <c r="U110" s="1" t="s">
        <v>32</v>
      </c>
      <c r="V110" s="2">
        <v>126.2</v>
      </c>
      <c r="W110" s="2">
        <v>126.6</v>
      </c>
      <c r="X110" s="2">
        <v>123.7</v>
      </c>
      <c r="Y110" s="2">
        <v>113.6</v>
      </c>
      <c r="Z110" s="2">
        <v>121.4</v>
      </c>
      <c r="AA110" s="2">
        <v>126.2</v>
      </c>
      <c r="AB110" s="2">
        <v>114.9</v>
      </c>
      <c r="AC110" s="2">
        <v>120.1</v>
      </c>
      <c r="AD110" s="2">
        <v>128.1</v>
      </c>
    </row>
    <row r="111" spans="1:30" ht="15" thickBot="1" x14ac:dyDescent="0.4">
      <c r="A111" s="1" t="s">
        <v>33</v>
      </c>
      <c r="B111" s="2">
        <v>2016</v>
      </c>
      <c r="C111" s="1" t="s">
        <v>31</v>
      </c>
      <c r="D111" s="2">
        <v>124.7</v>
      </c>
      <c r="E111" s="2">
        <v>135.9</v>
      </c>
      <c r="F111" s="2">
        <v>132</v>
      </c>
      <c r="G111" s="2">
        <v>129.19999999999999</v>
      </c>
      <c r="H111" s="2">
        <v>109.7</v>
      </c>
      <c r="I111" s="2">
        <v>119</v>
      </c>
      <c r="J111" s="2">
        <v>144.1</v>
      </c>
      <c r="K111" s="2">
        <v>184.2</v>
      </c>
      <c r="L111" s="2">
        <v>96.7</v>
      </c>
      <c r="M111" s="2">
        <v>139.5</v>
      </c>
      <c r="N111" s="2">
        <v>120.5</v>
      </c>
      <c r="O111" s="2">
        <v>134.69999999999999</v>
      </c>
      <c r="P111" s="2">
        <v>131.19999999999999</v>
      </c>
      <c r="Q111" s="2">
        <v>139.5</v>
      </c>
      <c r="R111" s="2">
        <v>125.8</v>
      </c>
      <c r="S111" s="2">
        <v>119.8</v>
      </c>
      <c r="T111" s="2">
        <v>124.9</v>
      </c>
      <c r="U111" s="2">
        <v>123.4</v>
      </c>
      <c r="V111" s="2">
        <v>116.9</v>
      </c>
      <c r="W111" s="2">
        <v>121.6</v>
      </c>
      <c r="X111" s="2">
        <v>119.1</v>
      </c>
      <c r="Y111" s="2">
        <v>108.9</v>
      </c>
      <c r="Z111" s="2">
        <v>118.5</v>
      </c>
      <c r="AA111" s="2">
        <v>126.4</v>
      </c>
      <c r="AB111" s="2">
        <v>114</v>
      </c>
      <c r="AC111" s="2">
        <v>116.8</v>
      </c>
      <c r="AD111" s="2">
        <v>124.2</v>
      </c>
    </row>
    <row r="112" spans="1:30" ht="26.5" thickBot="1" x14ac:dyDescent="0.4">
      <c r="A112" s="1" t="s">
        <v>34</v>
      </c>
      <c r="B112" s="2">
        <v>2016</v>
      </c>
      <c r="C112" s="1" t="s">
        <v>31</v>
      </c>
      <c r="D112" s="2">
        <v>126.1</v>
      </c>
      <c r="E112" s="2">
        <v>134.1</v>
      </c>
      <c r="F112" s="2">
        <v>128.6</v>
      </c>
      <c r="G112" s="2">
        <v>129.9</v>
      </c>
      <c r="H112" s="2">
        <v>115.5</v>
      </c>
      <c r="I112" s="2">
        <v>125.7</v>
      </c>
      <c r="J112" s="2">
        <v>141.5</v>
      </c>
      <c r="K112" s="2">
        <v>170.7</v>
      </c>
      <c r="L112" s="2">
        <v>97.4</v>
      </c>
      <c r="M112" s="2">
        <v>132.9</v>
      </c>
      <c r="N112" s="2">
        <v>122.7</v>
      </c>
      <c r="O112" s="2">
        <v>135.30000000000001</v>
      </c>
      <c r="P112" s="2">
        <v>131.30000000000001</v>
      </c>
      <c r="Q112" s="2">
        <v>135.19999999999999</v>
      </c>
      <c r="R112" s="2">
        <v>130.30000000000001</v>
      </c>
      <c r="S112" s="2">
        <v>125.1</v>
      </c>
      <c r="T112" s="2">
        <v>129.5</v>
      </c>
      <c r="U112" s="2">
        <v>123.4</v>
      </c>
      <c r="V112" s="2">
        <v>122.7</v>
      </c>
      <c r="W112" s="2">
        <v>124.2</v>
      </c>
      <c r="X112" s="2">
        <v>122</v>
      </c>
      <c r="Y112" s="2">
        <v>111.1</v>
      </c>
      <c r="Z112" s="2">
        <v>119.8</v>
      </c>
      <c r="AA112" s="2">
        <v>126.3</v>
      </c>
      <c r="AB112" s="2">
        <v>114.5</v>
      </c>
      <c r="AC112" s="2">
        <v>118.5</v>
      </c>
      <c r="AD112" s="2">
        <v>126.3</v>
      </c>
    </row>
    <row r="113" spans="1:30" ht="15" thickBot="1" x14ac:dyDescent="0.4">
      <c r="A113" s="1" t="s">
        <v>30</v>
      </c>
      <c r="B113" s="2">
        <v>2016</v>
      </c>
      <c r="C113" s="1" t="s">
        <v>35</v>
      </c>
      <c r="D113" s="2">
        <v>127.1</v>
      </c>
      <c r="E113" s="2">
        <v>133.69999999999999</v>
      </c>
      <c r="F113" s="2">
        <v>127.7</v>
      </c>
      <c r="G113" s="2">
        <v>130.69999999999999</v>
      </c>
      <c r="H113" s="2">
        <v>118.5</v>
      </c>
      <c r="I113" s="2">
        <v>130.4</v>
      </c>
      <c r="J113" s="2">
        <v>130.9</v>
      </c>
      <c r="K113" s="2">
        <v>162.80000000000001</v>
      </c>
      <c r="L113" s="2">
        <v>98.7</v>
      </c>
      <c r="M113" s="2">
        <v>130.6</v>
      </c>
      <c r="N113" s="2">
        <v>124.8</v>
      </c>
      <c r="O113" s="2">
        <v>136.4</v>
      </c>
      <c r="P113" s="2">
        <v>130.30000000000001</v>
      </c>
      <c r="Q113" s="2">
        <v>134.4</v>
      </c>
      <c r="R113" s="2">
        <v>133.9</v>
      </c>
      <c r="S113" s="2">
        <v>129.80000000000001</v>
      </c>
      <c r="T113" s="2">
        <v>133.4</v>
      </c>
      <c r="U113" s="1" t="s">
        <v>32</v>
      </c>
      <c r="V113" s="2">
        <v>127.5</v>
      </c>
      <c r="W113" s="2">
        <v>127.1</v>
      </c>
      <c r="X113" s="2">
        <v>124.3</v>
      </c>
      <c r="Y113" s="2">
        <v>113.9</v>
      </c>
      <c r="Z113" s="2">
        <v>122.3</v>
      </c>
      <c r="AA113" s="2">
        <v>127.1</v>
      </c>
      <c r="AB113" s="2">
        <v>116.8</v>
      </c>
      <c r="AC113" s="2">
        <v>120.9</v>
      </c>
      <c r="AD113" s="2">
        <v>127.9</v>
      </c>
    </row>
    <row r="114" spans="1:30" ht="15" thickBot="1" x14ac:dyDescent="0.4">
      <c r="A114" s="1" t="s">
        <v>33</v>
      </c>
      <c r="B114" s="2">
        <v>2016</v>
      </c>
      <c r="C114" s="1" t="s">
        <v>35</v>
      </c>
      <c r="D114" s="2">
        <v>124.8</v>
      </c>
      <c r="E114" s="2">
        <v>135.1</v>
      </c>
      <c r="F114" s="2">
        <v>130.30000000000001</v>
      </c>
      <c r="G114" s="2">
        <v>129.6</v>
      </c>
      <c r="H114" s="2">
        <v>108.4</v>
      </c>
      <c r="I114" s="2">
        <v>118.6</v>
      </c>
      <c r="J114" s="2">
        <v>129.19999999999999</v>
      </c>
      <c r="K114" s="2">
        <v>176.4</v>
      </c>
      <c r="L114" s="2">
        <v>99.1</v>
      </c>
      <c r="M114" s="2">
        <v>139.69999999999999</v>
      </c>
      <c r="N114" s="2">
        <v>120.6</v>
      </c>
      <c r="O114" s="2">
        <v>135.19999999999999</v>
      </c>
      <c r="P114" s="2">
        <v>129.1</v>
      </c>
      <c r="Q114" s="2">
        <v>140</v>
      </c>
      <c r="R114" s="2">
        <v>126.2</v>
      </c>
      <c r="S114" s="2">
        <v>120.1</v>
      </c>
      <c r="T114" s="2">
        <v>125.3</v>
      </c>
      <c r="U114" s="2">
        <v>124.4</v>
      </c>
      <c r="V114" s="2">
        <v>116</v>
      </c>
      <c r="W114" s="2">
        <v>121.8</v>
      </c>
      <c r="X114" s="2">
        <v>119.5</v>
      </c>
      <c r="Y114" s="2">
        <v>109.1</v>
      </c>
      <c r="Z114" s="2">
        <v>118.8</v>
      </c>
      <c r="AA114" s="2">
        <v>126.3</v>
      </c>
      <c r="AB114" s="2">
        <v>116.2</v>
      </c>
      <c r="AC114" s="2">
        <v>117.2</v>
      </c>
      <c r="AD114" s="2">
        <v>123.8</v>
      </c>
    </row>
    <row r="115" spans="1:30" ht="26.5" thickBot="1" x14ac:dyDescent="0.4">
      <c r="A115" s="1" t="s">
        <v>34</v>
      </c>
      <c r="B115" s="2">
        <v>2016</v>
      </c>
      <c r="C115" s="1" t="s">
        <v>35</v>
      </c>
      <c r="D115" s="2">
        <v>126.4</v>
      </c>
      <c r="E115" s="2">
        <v>134.19999999999999</v>
      </c>
      <c r="F115" s="2">
        <v>128.69999999999999</v>
      </c>
      <c r="G115" s="2">
        <v>130.30000000000001</v>
      </c>
      <c r="H115" s="2">
        <v>114.8</v>
      </c>
      <c r="I115" s="2">
        <v>124.9</v>
      </c>
      <c r="J115" s="2">
        <v>130.30000000000001</v>
      </c>
      <c r="K115" s="2">
        <v>167.4</v>
      </c>
      <c r="L115" s="2">
        <v>98.8</v>
      </c>
      <c r="M115" s="2">
        <v>133.6</v>
      </c>
      <c r="N115" s="2">
        <v>123</v>
      </c>
      <c r="O115" s="2">
        <v>135.80000000000001</v>
      </c>
      <c r="P115" s="2">
        <v>129.9</v>
      </c>
      <c r="Q115" s="2">
        <v>135.9</v>
      </c>
      <c r="R115" s="2">
        <v>130.9</v>
      </c>
      <c r="S115" s="2">
        <v>125.8</v>
      </c>
      <c r="T115" s="2">
        <v>130.19999999999999</v>
      </c>
      <c r="U115" s="2">
        <v>124.4</v>
      </c>
      <c r="V115" s="2">
        <v>123.1</v>
      </c>
      <c r="W115" s="2">
        <v>124.6</v>
      </c>
      <c r="X115" s="2">
        <v>122.5</v>
      </c>
      <c r="Y115" s="2">
        <v>111.4</v>
      </c>
      <c r="Z115" s="2">
        <v>120.3</v>
      </c>
      <c r="AA115" s="2">
        <v>126.6</v>
      </c>
      <c r="AB115" s="2">
        <v>116.6</v>
      </c>
      <c r="AC115" s="2">
        <v>119.1</v>
      </c>
      <c r="AD115" s="2">
        <v>126</v>
      </c>
    </row>
    <row r="116" spans="1:30" ht="15" thickBot="1" x14ac:dyDescent="0.4">
      <c r="A116" s="1" t="s">
        <v>30</v>
      </c>
      <c r="B116" s="2">
        <v>2016</v>
      </c>
      <c r="C116" s="1" t="s">
        <v>36</v>
      </c>
      <c r="D116" s="2">
        <v>127.3</v>
      </c>
      <c r="E116" s="2">
        <v>134.4</v>
      </c>
      <c r="F116" s="2">
        <v>125.1</v>
      </c>
      <c r="G116" s="2">
        <v>130.5</v>
      </c>
      <c r="H116" s="2">
        <v>118.3</v>
      </c>
      <c r="I116" s="2">
        <v>131.69999999999999</v>
      </c>
      <c r="J116" s="2">
        <v>130.69999999999999</v>
      </c>
      <c r="K116" s="2">
        <v>161.19999999999999</v>
      </c>
      <c r="L116" s="2">
        <v>100.4</v>
      </c>
      <c r="M116" s="2">
        <v>130.80000000000001</v>
      </c>
      <c r="N116" s="2">
        <v>124.9</v>
      </c>
      <c r="O116" s="2">
        <v>137</v>
      </c>
      <c r="P116" s="2">
        <v>130.4</v>
      </c>
      <c r="Q116" s="2">
        <v>135</v>
      </c>
      <c r="R116" s="2">
        <v>134.4</v>
      </c>
      <c r="S116" s="2">
        <v>130.19999999999999</v>
      </c>
      <c r="T116" s="2">
        <v>133.80000000000001</v>
      </c>
      <c r="U116" s="1" t="s">
        <v>32</v>
      </c>
      <c r="V116" s="2">
        <v>127</v>
      </c>
      <c r="W116" s="2">
        <v>127.7</v>
      </c>
      <c r="X116" s="2">
        <v>124.8</v>
      </c>
      <c r="Y116" s="2">
        <v>113.6</v>
      </c>
      <c r="Z116" s="2">
        <v>122.5</v>
      </c>
      <c r="AA116" s="2">
        <v>127.5</v>
      </c>
      <c r="AB116" s="2">
        <v>117.4</v>
      </c>
      <c r="AC116" s="2">
        <v>121.1</v>
      </c>
      <c r="AD116" s="2">
        <v>128</v>
      </c>
    </row>
    <row r="117" spans="1:30" ht="15" thickBot="1" x14ac:dyDescent="0.4">
      <c r="A117" s="1" t="s">
        <v>33</v>
      </c>
      <c r="B117" s="2">
        <v>2016</v>
      </c>
      <c r="C117" s="1" t="s">
        <v>36</v>
      </c>
      <c r="D117" s="2">
        <v>124.8</v>
      </c>
      <c r="E117" s="2">
        <v>136.30000000000001</v>
      </c>
      <c r="F117" s="2">
        <v>123.7</v>
      </c>
      <c r="G117" s="2">
        <v>129.69999999999999</v>
      </c>
      <c r="H117" s="2">
        <v>107.9</v>
      </c>
      <c r="I117" s="2">
        <v>119.9</v>
      </c>
      <c r="J117" s="2">
        <v>128.1</v>
      </c>
      <c r="K117" s="2">
        <v>170.3</v>
      </c>
      <c r="L117" s="2">
        <v>101.8</v>
      </c>
      <c r="M117" s="2">
        <v>140.1</v>
      </c>
      <c r="N117" s="2">
        <v>120.7</v>
      </c>
      <c r="O117" s="2">
        <v>135.4</v>
      </c>
      <c r="P117" s="2">
        <v>128.9</v>
      </c>
      <c r="Q117" s="2">
        <v>140.6</v>
      </c>
      <c r="R117" s="2">
        <v>126.4</v>
      </c>
      <c r="S117" s="2">
        <v>120.3</v>
      </c>
      <c r="T117" s="2">
        <v>125.5</v>
      </c>
      <c r="U117" s="2">
        <v>124.9</v>
      </c>
      <c r="V117" s="2">
        <v>114.8</v>
      </c>
      <c r="W117" s="2">
        <v>122.3</v>
      </c>
      <c r="X117" s="2">
        <v>119.7</v>
      </c>
      <c r="Y117" s="2">
        <v>108.5</v>
      </c>
      <c r="Z117" s="2">
        <v>119.1</v>
      </c>
      <c r="AA117" s="2">
        <v>126.4</v>
      </c>
      <c r="AB117" s="2">
        <v>117.1</v>
      </c>
      <c r="AC117" s="2">
        <v>117.3</v>
      </c>
      <c r="AD117" s="2">
        <v>123.8</v>
      </c>
    </row>
    <row r="118" spans="1:30" ht="26.5" thickBot="1" x14ac:dyDescent="0.4">
      <c r="A118" s="1" t="s">
        <v>34</v>
      </c>
      <c r="B118" s="2">
        <v>2016</v>
      </c>
      <c r="C118" s="1" t="s">
        <v>36</v>
      </c>
      <c r="D118" s="2">
        <v>126.5</v>
      </c>
      <c r="E118" s="2">
        <v>135.1</v>
      </c>
      <c r="F118" s="2">
        <v>124.6</v>
      </c>
      <c r="G118" s="2">
        <v>130.19999999999999</v>
      </c>
      <c r="H118" s="2">
        <v>114.5</v>
      </c>
      <c r="I118" s="2">
        <v>126.2</v>
      </c>
      <c r="J118" s="2">
        <v>129.80000000000001</v>
      </c>
      <c r="K118" s="2">
        <v>164.3</v>
      </c>
      <c r="L118" s="2">
        <v>100.9</v>
      </c>
      <c r="M118" s="2">
        <v>133.9</v>
      </c>
      <c r="N118" s="2">
        <v>123.1</v>
      </c>
      <c r="O118" s="2">
        <v>136.30000000000001</v>
      </c>
      <c r="P118" s="2">
        <v>129.80000000000001</v>
      </c>
      <c r="Q118" s="2">
        <v>136.5</v>
      </c>
      <c r="R118" s="2">
        <v>131.30000000000001</v>
      </c>
      <c r="S118" s="2">
        <v>126.1</v>
      </c>
      <c r="T118" s="2">
        <v>130.5</v>
      </c>
      <c r="U118" s="2">
        <v>124.9</v>
      </c>
      <c r="V118" s="2">
        <v>122.4</v>
      </c>
      <c r="W118" s="2">
        <v>125.1</v>
      </c>
      <c r="X118" s="2">
        <v>122.9</v>
      </c>
      <c r="Y118" s="2">
        <v>110.9</v>
      </c>
      <c r="Z118" s="2">
        <v>120.6</v>
      </c>
      <c r="AA118" s="2">
        <v>126.9</v>
      </c>
      <c r="AB118" s="2">
        <v>117.3</v>
      </c>
      <c r="AC118" s="2">
        <v>119.3</v>
      </c>
      <c r="AD118" s="2">
        <v>126</v>
      </c>
    </row>
    <row r="119" spans="1:30" ht="15" thickBot="1" x14ac:dyDescent="0.4">
      <c r="A119" s="1" t="s">
        <v>30</v>
      </c>
      <c r="B119" s="2">
        <v>2016</v>
      </c>
      <c r="C119" s="1" t="s">
        <v>37</v>
      </c>
      <c r="D119" s="2">
        <v>127.4</v>
      </c>
      <c r="E119" s="2">
        <v>135.4</v>
      </c>
      <c r="F119" s="2">
        <v>123.4</v>
      </c>
      <c r="G119" s="2">
        <v>131.30000000000001</v>
      </c>
      <c r="H119" s="2">
        <v>118.2</v>
      </c>
      <c r="I119" s="2">
        <v>138.1</v>
      </c>
      <c r="J119" s="2">
        <v>134.1</v>
      </c>
      <c r="K119" s="2">
        <v>162.69999999999999</v>
      </c>
      <c r="L119" s="2">
        <v>105</v>
      </c>
      <c r="M119" s="2">
        <v>131.4</v>
      </c>
      <c r="N119" s="2">
        <v>125.4</v>
      </c>
      <c r="O119" s="2">
        <v>137.4</v>
      </c>
      <c r="P119" s="2">
        <v>131.80000000000001</v>
      </c>
      <c r="Q119" s="2">
        <v>135.5</v>
      </c>
      <c r="R119" s="2">
        <v>135</v>
      </c>
      <c r="S119" s="2">
        <v>130.6</v>
      </c>
      <c r="T119" s="2">
        <v>134.4</v>
      </c>
      <c r="U119" s="1" t="s">
        <v>32</v>
      </c>
      <c r="V119" s="2">
        <v>127</v>
      </c>
      <c r="W119" s="2">
        <v>128</v>
      </c>
      <c r="X119" s="2">
        <v>125.2</v>
      </c>
      <c r="Y119" s="2">
        <v>114.4</v>
      </c>
      <c r="Z119" s="2">
        <v>123.2</v>
      </c>
      <c r="AA119" s="2">
        <v>127.9</v>
      </c>
      <c r="AB119" s="2">
        <v>118.4</v>
      </c>
      <c r="AC119" s="2">
        <v>121.7</v>
      </c>
      <c r="AD119" s="2">
        <v>129</v>
      </c>
    </row>
    <row r="120" spans="1:30" ht="15" thickBot="1" x14ac:dyDescent="0.4">
      <c r="A120" s="1" t="s">
        <v>33</v>
      </c>
      <c r="B120" s="2">
        <v>2016</v>
      </c>
      <c r="C120" s="1" t="s">
        <v>37</v>
      </c>
      <c r="D120" s="2">
        <v>124.9</v>
      </c>
      <c r="E120" s="2">
        <v>139.30000000000001</v>
      </c>
      <c r="F120" s="2">
        <v>119.9</v>
      </c>
      <c r="G120" s="2">
        <v>130.19999999999999</v>
      </c>
      <c r="H120" s="2">
        <v>108.9</v>
      </c>
      <c r="I120" s="2">
        <v>131.1</v>
      </c>
      <c r="J120" s="2">
        <v>136.80000000000001</v>
      </c>
      <c r="K120" s="2">
        <v>176.9</v>
      </c>
      <c r="L120" s="2">
        <v>109.1</v>
      </c>
      <c r="M120" s="2">
        <v>140.4</v>
      </c>
      <c r="N120" s="2">
        <v>121.1</v>
      </c>
      <c r="O120" s="2">
        <v>135.9</v>
      </c>
      <c r="P120" s="2">
        <v>131.80000000000001</v>
      </c>
      <c r="Q120" s="2">
        <v>141.5</v>
      </c>
      <c r="R120" s="2">
        <v>126.8</v>
      </c>
      <c r="S120" s="2">
        <v>120.5</v>
      </c>
      <c r="T120" s="2">
        <v>125.8</v>
      </c>
      <c r="U120" s="2">
        <v>125.6</v>
      </c>
      <c r="V120" s="2">
        <v>114.6</v>
      </c>
      <c r="W120" s="2">
        <v>122.8</v>
      </c>
      <c r="X120" s="2">
        <v>120</v>
      </c>
      <c r="Y120" s="2">
        <v>110</v>
      </c>
      <c r="Z120" s="2">
        <v>119.5</v>
      </c>
      <c r="AA120" s="2">
        <v>127.6</v>
      </c>
      <c r="AB120" s="2">
        <v>117.6</v>
      </c>
      <c r="AC120" s="2">
        <v>118.2</v>
      </c>
      <c r="AD120" s="2">
        <v>125.3</v>
      </c>
    </row>
    <row r="121" spans="1:30" ht="26.5" thickBot="1" x14ac:dyDescent="0.4">
      <c r="A121" s="1" t="s">
        <v>34</v>
      </c>
      <c r="B121" s="2">
        <v>2016</v>
      </c>
      <c r="C121" s="1" t="s">
        <v>37</v>
      </c>
      <c r="D121" s="2">
        <v>126.6</v>
      </c>
      <c r="E121" s="2">
        <v>136.80000000000001</v>
      </c>
      <c r="F121" s="2">
        <v>122</v>
      </c>
      <c r="G121" s="2">
        <v>130.9</v>
      </c>
      <c r="H121" s="2">
        <v>114.8</v>
      </c>
      <c r="I121" s="2">
        <v>134.80000000000001</v>
      </c>
      <c r="J121" s="2">
        <v>135</v>
      </c>
      <c r="K121" s="2">
        <v>167.5</v>
      </c>
      <c r="L121" s="2">
        <v>106.4</v>
      </c>
      <c r="M121" s="2">
        <v>134.4</v>
      </c>
      <c r="N121" s="2">
        <v>123.6</v>
      </c>
      <c r="O121" s="2">
        <v>136.69999999999999</v>
      </c>
      <c r="P121" s="2">
        <v>131.80000000000001</v>
      </c>
      <c r="Q121" s="2">
        <v>137.1</v>
      </c>
      <c r="R121" s="2">
        <v>131.80000000000001</v>
      </c>
      <c r="S121" s="2">
        <v>126.4</v>
      </c>
      <c r="T121" s="2">
        <v>131</v>
      </c>
      <c r="U121" s="2">
        <v>125.6</v>
      </c>
      <c r="V121" s="2">
        <v>122.3</v>
      </c>
      <c r="W121" s="2">
        <v>125.5</v>
      </c>
      <c r="X121" s="2">
        <v>123.2</v>
      </c>
      <c r="Y121" s="2">
        <v>112.1</v>
      </c>
      <c r="Z121" s="2">
        <v>121.1</v>
      </c>
      <c r="AA121" s="2">
        <v>127.7</v>
      </c>
      <c r="AB121" s="2">
        <v>118.1</v>
      </c>
      <c r="AC121" s="2">
        <v>120</v>
      </c>
      <c r="AD121" s="2">
        <v>127.3</v>
      </c>
    </row>
    <row r="122" spans="1:30" ht="15" thickBot="1" x14ac:dyDescent="0.4">
      <c r="A122" s="1" t="s">
        <v>30</v>
      </c>
      <c r="B122" s="2">
        <v>2016</v>
      </c>
      <c r="C122" s="1" t="s">
        <v>38</v>
      </c>
      <c r="D122" s="2">
        <v>127.6</v>
      </c>
      <c r="E122" s="2">
        <v>137.5</v>
      </c>
      <c r="F122" s="2">
        <v>124.4</v>
      </c>
      <c r="G122" s="2">
        <v>132.4</v>
      </c>
      <c r="H122" s="2">
        <v>118.2</v>
      </c>
      <c r="I122" s="2">
        <v>138.1</v>
      </c>
      <c r="J122" s="2">
        <v>141.80000000000001</v>
      </c>
      <c r="K122" s="2">
        <v>166</v>
      </c>
      <c r="L122" s="2">
        <v>107.5</v>
      </c>
      <c r="M122" s="2">
        <v>132.19999999999999</v>
      </c>
      <c r="N122" s="2">
        <v>126.1</v>
      </c>
      <c r="O122" s="2">
        <v>138.30000000000001</v>
      </c>
      <c r="P122" s="2">
        <v>133.6</v>
      </c>
      <c r="Q122" s="2">
        <v>136</v>
      </c>
      <c r="R122" s="2">
        <v>135.4</v>
      </c>
      <c r="S122" s="2">
        <v>131.1</v>
      </c>
      <c r="T122" s="2">
        <v>134.80000000000001</v>
      </c>
      <c r="U122" s="1" t="s">
        <v>32</v>
      </c>
      <c r="V122" s="2">
        <v>127.4</v>
      </c>
      <c r="W122" s="2">
        <v>128.5</v>
      </c>
      <c r="X122" s="2">
        <v>125.8</v>
      </c>
      <c r="Y122" s="2">
        <v>115.1</v>
      </c>
      <c r="Z122" s="2">
        <v>123.6</v>
      </c>
      <c r="AA122" s="2">
        <v>129.1</v>
      </c>
      <c r="AB122" s="2">
        <v>119.7</v>
      </c>
      <c r="AC122" s="2">
        <v>122.5</v>
      </c>
      <c r="AD122" s="2">
        <v>130.30000000000001</v>
      </c>
    </row>
    <row r="123" spans="1:30" ht="15" thickBot="1" x14ac:dyDescent="0.4">
      <c r="A123" s="1" t="s">
        <v>33</v>
      </c>
      <c r="B123" s="2">
        <v>2016</v>
      </c>
      <c r="C123" s="1" t="s">
        <v>38</v>
      </c>
      <c r="D123" s="2">
        <v>125</v>
      </c>
      <c r="E123" s="2">
        <v>142.1</v>
      </c>
      <c r="F123" s="2">
        <v>127</v>
      </c>
      <c r="G123" s="2">
        <v>130.4</v>
      </c>
      <c r="H123" s="2">
        <v>109.6</v>
      </c>
      <c r="I123" s="2">
        <v>133.5</v>
      </c>
      <c r="J123" s="2">
        <v>151.4</v>
      </c>
      <c r="K123" s="2">
        <v>182.8</v>
      </c>
      <c r="L123" s="2">
        <v>111.1</v>
      </c>
      <c r="M123" s="2">
        <v>141.5</v>
      </c>
      <c r="N123" s="2">
        <v>121.5</v>
      </c>
      <c r="O123" s="2">
        <v>136.30000000000001</v>
      </c>
      <c r="P123" s="2">
        <v>134.6</v>
      </c>
      <c r="Q123" s="2">
        <v>142.19999999999999</v>
      </c>
      <c r="R123" s="2">
        <v>127.2</v>
      </c>
      <c r="S123" s="2">
        <v>120.7</v>
      </c>
      <c r="T123" s="2">
        <v>126.2</v>
      </c>
      <c r="U123" s="2">
        <v>126</v>
      </c>
      <c r="V123" s="2">
        <v>115</v>
      </c>
      <c r="W123" s="2">
        <v>123.2</v>
      </c>
      <c r="X123" s="2">
        <v>120.3</v>
      </c>
      <c r="Y123" s="2">
        <v>110.7</v>
      </c>
      <c r="Z123" s="2">
        <v>119.8</v>
      </c>
      <c r="AA123" s="2">
        <v>128</v>
      </c>
      <c r="AB123" s="2">
        <v>118.5</v>
      </c>
      <c r="AC123" s="2">
        <v>118.7</v>
      </c>
      <c r="AD123" s="2">
        <v>126.6</v>
      </c>
    </row>
    <row r="124" spans="1:30" ht="26.5" thickBot="1" x14ac:dyDescent="0.4">
      <c r="A124" s="1" t="s">
        <v>34</v>
      </c>
      <c r="B124" s="2">
        <v>2016</v>
      </c>
      <c r="C124" s="1" t="s">
        <v>38</v>
      </c>
      <c r="D124" s="2">
        <v>126.8</v>
      </c>
      <c r="E124" s="2">
        <v>139.1</v>
      </c>
      <c r="F124" s="2">
        <v>125.4</v>
      </c>
      <c r="G124" s="2">
        <v>131.69999999999999</v>
      </c>
      <c r="H124" s="2">
        <v>115</v>
      </c>
      <c r="I124" s="2">
        <v>136</v>
      </c>
      <c r="J124" s="2">
        <v>145.1</v>
      </c>
      <c r="K124" s="2">
        <v>171.7</v>
      </c>
      <c r="L124" s="2">
        <v>108.7</v>
      </c>
      <c r="M124" s="2">
        <v>135.30000000000001</v>
      </c>
      <c r="N124" s="2">
        <v>124.2</v>
      </c>
      <c r="O124" s="2">
        <v>137.4</v>
      </c>
      <c r="P124" s="2">
        <v>134</v>
      </c>
      <c r="Q124" s="2">
        <v>137.69999999999999</v>
      </c>
      <c r="R124" s="2">
        <v>132.19999999999999</v>
      </c>
      <c r="S124" s="2">
        <v>126.8</v>
      </c>
      <c r="T124" s="2">
        <v>131.4</v>
      </c>
      <c r="U124" s="2">
        <v>126</v>
      </c>
      <c r="V124" s="2">
        <v>122.7</v>
      </c>
      <c r="W124" s="2">
        <v>126</v>
      </c>
      <c r="X124" s="2">
        <v>123.7</v>
      </c>
      <c r="Y124" s="2">
        <v>112.8</v>
      </c>
      <c r="Z124" s="2">
        <v>121.5</v>
      </c>
      <c r="AA124" s="2">
        <v>128.5</v>
      </c>
      <c r="AB124" s="2">
        <v>119.2</v>
      </c>
      <c r="AC124" s="2">
        <v>120.7</v>
      </c>
      <c r="AD124" s="2">
        <v>128.6</v>
      </c>
    </row>
    <row r="125" spans="1:30" ht="15" thickBot="1" x14ac:dyDescent="0.4">
      <c r="A125" s="1" t="s">
        <v>30</v>
      </c>
      <c r="B125" s="2">
        <v>2016</v>
      </c>
      <c r="C125" s="1" t="s">
        <v>39</v>
      </c>
      <c r="D125" s="2">
        <v>128.6</v>
      </c>
      <c r="E125" s="2">
        <v>138.6</v>
      </c>
      <c r="F125" s="2">
        <v>126.6</v>
      </c>
      <c r="G125" s="2">
        <v>133.6</v>
      </c>
      <c r="H125" s="2">
        <v>118.6</v>
      </c>
      <c r="I125" s="2">
        <v>137.4</v>
      </c>
      <c r="J125" s="2">
        <v>152.5</v>
      </c>
      <c r="K125" s="2">
        <v>169.2</v>
      </c>
      <c r="L125" s="2">
        <v>108.8</v>
      </c>
      <c r="M125" s="2">
        <v>133.1</v>
      </c>
      <c r="N125" s="2">
        <v>126.4</v>
      </c>
      <c r="O125" s="2">
        <v>139.19999999999999</v>
      </c>
      <c r="P125" s="2">
        <v>136</v>
      </c>
      <c r="Q125" s="2">
        <v>137.19999999999999</v>
      </c>
      <c r="R125" s="2">
        <v>136.30000000000001</v>
      </c>
      <c r="S125" s="2">
        <v>131.6</v>
      </c>
      <c r="T125" s="2">
        <v>135.6</v>
      </c>
      <c r="U125" s="1" t="s">
        <v>32</v>
      </c>
      <c r="V125" s="2">
        <v>128</v>
      </c>
      <c r="W125" s="2">
        <v>129.30000000000001</v>
      </c>
      <c r="X125" s="2">
        <v>126.2</v>
      </c>
      <c r="Y125" s="2">
        <v>116.3</v>
      </c>
      <c r="Z125" s="2">
        <v>124.1</v>
      </c>
      <c r="AA125" s="2">
        <v>130.19999999999999</v>
      </c>
      <c r="AB125" s="2">
        <v>119.9</v>
      </c>
      <c r="AC125" s="2">
        <v>123.3</v>
      </c>
      <c r="AD125" s="2">
        <v>131.9</v>
      </c>
    </row>
    <row r="126" spans="1:30" ht="15" thickBot="1" x14ac:dyDescent="0.4">
      <c r="A126" s="1" t="s">
        <v>33</v>
      </c>
      <c r="B126" s="2">
        <v>2016</v>
      </c>
      <c r="C126" s="1" t="s">
        <v>39</v>
      </c>
      <c r="D126" s="2">
        <v>125.9</v>
      </c>
      <c r="E126" s="2">
        <v>143.9</v>
      </c>
      <c r="F126" s="2">
        <v>130.9</v>
      </c>
      <c r="G126" s="2">
        <v>131</v>
      </c>
      <c r="H126" s="2">
        <v>110.2</v>
      </c>
      <c r="I126" s="2">
        <v>135.5</v>
      </c>
      <c r="J126" s="2">
        <v>173.7</v>
      </c>
      <c r="K126" s="2">
        <v>184.4</v>
      </c>
      <c r="L126" s="2">
        <v>112</v>
      </c>
      <c r="M126" s="2">
        <v>142.80000000000001</v>
      </c>
      <c r="N126" s="2">
        <v>121.6</v>
      </c>
      <c r="O126" s="2">
        <v>136.9</v>
      </c>
      <c r="P126" s="2">
        <v>138.19999999999999</v>
      </c>
      <c r="Q126" s="2">
        <v>142.69999999999999</v>
      </c>
      <c r="R126" s="2">
        <v>127.6</v>
      </c>
      <c r="S126" s="2">
        <v>121.1</v>
      </c>
      <c r="T126" s="2">
        <v>126.6</v>
      </c>
      <c r="U126" s="2">
        <v>125.5</v>
      </c>
      <c r="V126" s="2">
        <v>115.5</v>
      </c>
      <c r="W126" s="2">
        <v>123.2</v>
      </c>
      <c r="X126" s="2">
        <v>120.6</v>
      </c>
      <c r="Y126" s="2">
        <v>112.3</v>
      </c>
      <c r="Z126" s="2">
        <v>119.9</v>
      </c>
      <c r="AA126" s="2">
        <v>129.30000000000001</v>
      </c>
      <c r="AB126" s="2">
        <v>118.8</v>
      </c>
      <c r="AC126" s="2">
        <v>119.6</v>
      </c>
      <c r="AD126" s="2">
        <v>128.1</v>
      </c>
    </row>
    <row r="127" spans="1:30" ht="26.5" thickBot="1" x14ac:dyDescent="0.4">
      <c r="A127" s="1" t="s">
        <v>34</v>
      </c>
      <c r="B127" s="2">
        <v>2016</v>
      </c>
      <c r="C127" s="1" t="s">
        <v>39</v>
      </c>
      <c r="D127" s="2">
        <v>127.7</v>
      </c>
      <c r="E127" s="2">
        <v>140.5</v>
      </c>
      <c r="F127" s="2">
        <v>128.30000000000001</v>
      </c>
      <c r="G127" s="2">
        <v>132.6</v>
      </c>
      <c r="H127" s="2">
        <v>115.5</v>
      </c>
      <c r="I127" s="2">
        <v>136.5</v>
      </c>
      <c r="J127" s="2">
        <v>159.69999999999999</v>
      </c>
      <c r="K127" s="2">
        <v>174.3</v>
      </c>
      <c r="L127" s="2">
        <v>109.9</v>
      </c>
      <c r="M127" s="2">
        <v>136.30000000000001</v>
      </c>
      <c r="N127" s="2">
        <v>124.4</v>
      </c>
      <c r="O127" s="2">
        <v>138.1</v>
      </c>
      <c r="P127" s="2">
        <v>136.80000000000001</v>
      </c>
      <c r="Q127" s="2">
        <v>138.69999999999999</v>
      </c>
      <c r="R127" s="2">
        <v>132.9</v>
      </c>
      <c r="S127" s="2">
        <v>127.2</v>
      </c>
      <c r="T127" s="2">
        <v>132</v>
      </c>
      <c r="U127" s="2">
        <v>125.5</v>
      </c>
      <c r="V127" s="2">
        <v>123.3</v>
      </c>
      <c r="W127" s="2">
        <v>126.4</v>
      </c>
      <c r="X127" s="2">
        <v>124.1</v>
      </c>
      <c r="Y127" s="2">
        <v>114.2</v>
      </c>
      <c r="Z127" s="2">
        <v>121.7</v>
      </c>
      <c r="AA127" s="2">
        <v>129.69999999999999</v>
      </c>
      <c r="AB127" s="2">
        <v>119.4</v>
      </c>
      <c r="AC127" s="2">
        <v>121.5</v>
      </c>
      <c r="AD127" s="2">
        <v>130.1</v>
      </c>
    </row>
    <row r="128" spans="1:30" ht="15" thickBot="1" x14ac:dyDescent="0.4">
      <c r="A128" s="1" t="s">
        <v>30</v>
      </c>
      <c r="B128" s="2">
        <v>2016</v>
      </c>
      <c r="C128" s="1" t="s">
        <v>40</v>
      </c>
      <c r="D128" s="2">
        <v>129.30000000000001</v>
      </c>
      <c r="E128" s="2">
        <v>139.5</v>
      </c>
      <c r="F128" s="2">
        <v>129.6</v>
      </c>
      <c r="G128" s="2">
        <v>134.5</v>
      </c>
      <c r="H128" s="2">
        <v>119.5</v>
      </c>
      <c r="I128" s="2">
        <v>138.5</v>
      </c>
      <c r="J128" s="2">
        <v>158.19999999999999</v>
      </c>
      <c r="K128" s="2">
        <v>171.8</v>
      </c>
      <c r="L128" s="2">
        <v>110.3</v>
      </c>
      <c r="M128" s="2">
        <v>134.30000000000001</v>
      </c>
      <c r="N128" s="2">
        <v>127.3</v>
      </c>
      <c r="O128" s="2">
        <v>139.9</v>
      </c>
      <c r="P128" s="2">
        <v>137.6</v>
      </c>
      <c r="Q128" s="2">
        <v>138</v>
      </c>
      <c r="R128" s="2">
        <v>137.19999999999999</v>
      </c>
      <c r="S128" s="2">
        <v>132.19999999999999</v>
      </c>
      <c r="T128" s="2">
        <v>136.5</v>
      </c>
      <c r="U128" s="1" t="s">
        <v>32</v>
      </c>
      <c r="V128" s="2">
        <v>128.19999999999999</v>
      </c>
      <c r="W128" s="2">
        <v>130</v>
      </c>
      <c r="X128" s="2">
        <v>126.7</v>
      </c>
      <c r="Y128" s="2">
        <v>116.4</v>
      </c>
      <c r="Z128" s="2">
        <v>125.2</v>
      </c>
      <c r="AA128" s="2">
        <v>130.80000000000001</v>
      </c>
      <c r="AB128" s="2">
        <v>120.9</v>
      </c>
      <c r="AC128" s="2">
        <v>123.8</v>
      </c>
      <c r="AD128" s="2">
        <v>133</v>
      </c>
    </row>
    <row r="129" spans="1:30" ht="15" thickBot="1" x14ac:dyDescent="0.4">
      <c r="A129" s="1" t="s">
        <v>33</v>
      </c>
      <c r="B129" s="2">
        <v>2016</v>
      </c>
      <c r="C129" s="1" t="s">
        <v>40</v>
      </c>
      <c r="D129" s="2">
        <v>126.8</v>
      </c>
      <c r="E129" s="2">
        <v>144.19999999999999</v>
      </c>
      <c r="F129" s="2">
        <v>136.6</v>
      </c>
      <c r="G129" s="2">
        <v>131.80000000000001</v>
      </c>
      <c r="H129" s="2">
        <v>111</v>
      </c>
      <c r="I129" s="2">
        <v>137</v>
      </c>
      <c r="J129" s="2">
        <v>179.5</v>
      </c>
      <c r="K129" s="2">
        <v>188.4</v>
      </c>
      <c r="L129" s="2">
        <v>113.3</v>
      </c>
      <c r="M129" s="2">
        <v>143.9</v>
      </c>
      <c r="N129" s="2">
        <v>121.7</v>
      </c>
      <c r="O129" s="2">
        <v>137.5</v>
      </c>
      <c r="P129" s="2">
        <v>139.80000000000001</v>
      </c>
      <c r="Q129" s="2">
        <v>142.9</v>
      </c>
      <c r="R129" s="2">
        <v>127.9</v>
      </c>
      <c r="S129" s="2">
        <v>121.1</v>
      </c>
      <c r="T129" s="2">
        <v>126.9</v>
      </c>
      <c r="U129" s="2">
        <v>126.4</v>
      </c>
      <c r="V129" s="2">
        <v>115.5</v>
      </c>
      <c r="W129" s="2">
        <v>123.5</v>
      </c>
      <c r="X129" s="2">
        <v>120.9</v>
      </c>
      <c r="Y129" s="2">
        <v>111.7</v>
      </c>
      <c r="Z129" s="2">
        <v>120.3</v>
      </c>
      <c r="AA129" s="2">
        <v>130.80000000000001</v>
      </c>
      <c r="AB129" s="2">
        <v>120</v>
      </c>
      <c r="AC129" s="2">
        <v>119.9</v>
      </c>
      <c r="AD129" s="2">
        <v>129</v>
      </c>
    </row>
    <row r="130" spans="1:30" ht="26.5" thickBot="1" x14ac:dyDescent="0.4">
      <c r="A130" s="1" t="s">
        <v>34</v>
      </c>
      <c r="B130" s="2">
        <v>2016</v>
      </c>
      <c r="C130" s="1" t="s">
        <v>40</v>
      </c>
      <c r="D130" s="2">
        <v>128.5</v>
      </c>
      <c r="E130" s="2">
        <v>141.19999999999999</v>
      </c>
      <c r="F130" s="2">
        <v>132.30000000000001</v>
      </c>
      <c r="G130" s="2">
        <v>133.5</v>
      </c>
      <c r="H130" s="2">
        <v>116.4</v>
      </c>
      <c r="I130" s="2">
        <v>137.80000000000001</v>
      </c>
      <c r="J130" s="2">
        <v>165.4</v>
      </c>
      <c r="K130" s="2">
        <v>177.4</v>
      </c>
      <c r="L130" s="2">
        <v>111.3</v>
      </c>
      <c r="M130" s="2">
        <v>137.5</v>
      </c>
      <c r="N130" s="2">
        <v>125</v>
      </c>
      <c r="O130" s="2">
        <v>138.80000000000001</v>
      </c>
      <c r="P130" s="2">
        <v>138.4</v>
      </c>
      <c r="Q130" s="2">
        <v>139.30000000000001</v>
      </c>
      <c r="R130" s="2">
        <v>133.5</v>
      </c>
      <c r="S130" s="2">
        <v>127.6</v>
      </c>
      <c r="T130" s="2">
        <v>132.69999999999999</v>
      </c>
      <c r="U130" s="2">
        <v>126.4</v>
      </c>
      <c r="V130" s="2">
        <v>123.4</v>
      </c>
      <c r="W130" s="2">
        <v>126.9</v>
      </c>
      <c r="X130" s="2">
        <v>124.5</v>
      </c>
      <c r="Y130" s="2">
        <v>113.9</v>
      </c>
      <c r="Z130" s="2">
        <v>122.4</v>
      </c>
      <c r="AA130" s="2">
        <v>130.80000000000001</v>
      </c>
      <c r="AB130" s="2">
        <v>120.5</v>
      </c>
      <c r="AC130" s="2">
        <v>121.9</v>
      </c>
      <c r="AD130" s="2">
        <v>131.1</v>
      </c>
    </row>
    <row r="131" spans="1:30" ht="15" thickBot="1" x14ac:dyDescent="0.4">
      <c r="A131" s="1" t="s">
        <v>30</v>
      </c>
      <c r="B131" s="2">
        <v>2016</v>
      </c>
      <c r="C131" s="1" t="s">
        <v>41</v>
      </c>
      <c r="D131" s="2">
        <v>130.1</v>
      </c>
      <c r="E131" s="2">
        <v>138.80000000000001</v>
      </c>
      <c r="F131" s="2">
        <v>130.30000000000001</v>
      </c>
      <c r="G131" s="2">
        <v>135.30000000000001</v>
      </c>
      <c r="H131" s="2">
        <v>119.9</v>
      </c>
      <c r="I131" s="2">
        <v>140.19999999999999</v>
      </c>
      <c r="J131" s="2">
        <v>156.9</v>
      </c>
      <c r="K131" s="2">
        <v>172.2</v>
      </c>
      <c r="L131" s="2">
        <v>112.1</v>
      </c>
      <c r="M131" s="2">
        <v>134.9</v>
      </c>
      <c r="N131" s="2">
        <v>128.1</v>
      </c>
      <c r="O131" s="2">
        <v>140.69999999999999</v>
      </c>
      <c r="P131" s="2">
        <v>138</v>
      </c>
      <c r="Q131" s="2">
        <v>138.9</v>
      </c>
      <c r="R131" s="2">
        <v>137.80000000000001</v>
      </c>
      <c r="S131" s="2">
        <v>133</v>
      </c>
      <c r="T131" s="2">
        <v>137.1</v>
      </c>
      <c r="U131" s="1" t="s">
        <v>32</v>
      </c>
      <c r="V131" s="2">
        <v>129.1</v>
      </c>
      <c r="W131" s="2">
        <v>130.6</v>
      </c>
      <c r="X131" s="2">
        <v>127</v>
      </c>
      <c r="Y131" s="2">
        <v>116</v>
      </c>
      <c r="Z131" s="2">
        <v>125.5</v>
      </c>
      <c r="AA131" s="2">
        <v>131.9</v>
      </c>
      <c r="AB131" s="2">
        <v>122</v>
      </c>
      <c r="AC131" s="2">
        <v>124.2</v>
      </c>
      <c r="AD131" s="2">
        <v>133.5</v>
      </c>
    </row>
    <row r="132" spans="1:30" ht="15" thickBot="1" x14ac:dyDescent="0.4">
      <c r="A132" s="1" t="s">
        <v>33</v>
      </c>
      <c r="B132" s="2">
        <v>2016</v>
      </c>
      <c r="C132" s="1" t="s">
        <v>41</v>
      </c>
      <c r="D132" s="2">
        <v>127.6</v>
      </c>
      <c r="E132" s="2">
        <v>140.30000000000001</v>
      </c>
      <c r="F132" s="2">
        <v>133.69999999999999</v>
      </c>
      <c r="G132" s="2">
        <v>132.19999999999999</v>
      </c>
      <c r="H132" s="2">
        <v>111.8</v>
      </c>
      <c r="I132" s="2">
        <v>135.80000000000001</v>
      </c>
      <c r="J132" s="2">
        <v>163.5</v>
      </c>
      <c r="K132" s="2">
        <v>182.3</v>
      </c>
      <c r="L132" s="2">
        <v>114.6</v>
      </c>
      <c r="M132" s="2">
        <v>144.6</v>
      </c>
      <c r="N132" s="2">
        <v>121.9</v>
      </c>
      <c r="O132" s="2">
        <v>138.1</v>
      </c>
      <c r="P132" s="2">
        <v>137.6</v>
      </c>
      <c r="Q132" s="2">
        <v>143.6</v>
      </c>
      <c r="R132" s="2">
        <v>128.30000000000001</v>
      </c>
      <c r="S132" s="2">
        <v>121.4</v>
      </c>
      <c r="T132" s="2">
        <v>127.3</v>
      </c>
      <c r="U132" s="2">
        <v>127.3</v>
      </c>
      <c r="V132" s="2">
        <v>114.7</v>
      </c>
      <c r="W132" s="2">
        <v>123.9</v>
      </c>
      <c r="X132" s="2">
        <v>121.2</v>
      </c>
      <c r="Y132" s="2">
        <v>110.4</v>
      </c>
      <c r="Z132" s="2">
        <v>120.6</v>
      </c>
      <c r="AA132" s="2">
        <v>131.5</v>
      </c>
      <c r="AB132" s="2">
        <v>120.9</v>
      </c>
      <c r="AC132" s="2">
        <v>119.9</v>
      </c>
      <c r="AD132" s="2">
        <v>128.4</v>
      </c>
    </row>
    <row r="133" spans="1:30" ht="26.5" thickBot="1" x14ac:dyDescent="0.4">
      <c r="A133" s="1" t="s">
        <v>34</v>
      </c>
      <c r="B133" s="2">
        <v>2016</v>
      </c>
      <c r="C133" s="1" t="s">
        <v>41</v>
      </c>
      <c r="D133" s="2">
        <v>129.30000000000001</v>
      </c>
      <c r="E133" s="2">
        <v>139.30000000000001</v>
      </c>
      <c r="F133" s="2">
        <v>131.6</v>
      </c>
      <c r="G133" s="2">
        <v>134.1</v>
      </c>
      <c r="H133" s="2">
        <v>116.9</v>
      </c>
      <c r="I133" s="2">
        <v>138.1</v>
      </c>
      <c r="J133" s="2">
        <v>159.1</v>
      </c>
      <c r="K133" s="2">
        <v>175.6</v>
      </c>
      <c r="L133" s="2">
        <v>112.9</v>
      </c>
      <c r="M133" s="2">
        <v>138.1</v>
      </c>
      <c r="N133" s="2">
        <v>125.5</v>
      </c>
      <c r="O133" s="2">
        <v>139.5</v>
      </c>
      <c r="P133" s="2">
        <v>137.9</v>
      </c>
      <c r="Q133" s="2">
        <v>140.19999999999999</v>
      </c>
      <c r="R133" s="2">
        <v>134.1</v>
      </c>
      <c r="S133" s="2">
        <v>128.19999999999999</v>
      </c>
      <c r="T133" s="2">
        <v>133.19999999999999</v>
      </c>
      <c r="U133" s="2">
        <v>127.3</v>
      </c>
      <c r="V133" s="2">
        <v>123.6</v>
      </c>
      <c r="W133" s="2">
        <v>127.4</v>
      </c>
      <c r="X133" s="2">
        <v>124.8</v>
      </c>
      <c r="Y133" s="2">
        <v>113.1</v>
      </c>
      <c r="Z133" s="2">
        <v>122.7</v>
      </c>
      <c r="AA133" s="2">
        <v>131.69999999999999</v>
      </c>
      <c r="AB133" s="2">
        <v>121.5</v>
      </c>
      <c r="AC133" s="2">
        <v>122.1</v>
      </c>
      <c r="AD133" s="2">
        <v>131.1</v>
      </c>
    </row>
    <row r="134" spans="1:30" ht="26.5" thickBot="1" x14ac:dyDescent="0.4">
      <c r="A134" s="1" t="s">
        <v>30</v>
      </c>
      <c r="B134" s="2">
        <v>2016</v>
      </c>
      <c r="C134" s="1" t="s">
        <v>42</v>
      </c>
      <c r="D134" s="2">
        <v>130.80000000000001</v>
      </c>
      <c r="E134" s="2">
        <v>138.19999999999999</v>
      </c>
      <c r="F134" s="2">
        <v>130.5</v>
      </c>
      <c r="G134" s="2">
        <v>135.5</v>
      </c>
      <c r="H134" s="2">
        <v>120.2</v>
      </c>
      <c r="I134" s="2">
        <v>139.19999999999999</v>
      </c>
      <c r="J134" s="2">
        <v>149.5</v>
      </c>
      <c r="K134" s="2">
        <v>170.4</v>
      </c>
      <c r="L134" s="2">
        <v>113.1</v>
      </c>
      <c r="M134" s="2">
        <v>135.80000000000001</v>
      </c>
      <c r="N134" s="2">
        <v>128.80000000000001</v>
      </c>
      <c r="O134" s="2">
        <v>141.5</v>
      </c>
      <c r="P134" s="2">
        <v>137.19999999999999</v>
      </c>
      <c r="Q134" s="2">
        <v>139.9</v>
      </c>
      <c r="R134" s="2">
        <v>138.5</v>
      </c>
      <c r="S134" s="2">
        <v>133.5</v>
      </c>
      <c r="T134" s="2">
        <v>137.80000000000001</v>
      </c>
      <c r="U134" s="1" t="s">
        <v>32</v>
      </c>
      <c r="V134" s="2">
        <v>129.69999999999999</v>
      </c>
      <c r="W134" s="2">
        <v>131.1</v>
      </c>
      <c r="X134" s="2">
        <v>127.8</v>
      </c>
      <c r="Y134" s="2">
        <v>117</v>
      </c>
      <c r="Z134" s="2">
        <v>125.7</v>
      </c>
      <c r="AA134" s="2">
        <v>132.19999999999999</v>
      </c>
      <c r="AB134" s="2">
        <v>122.8</v>
      </c>
      <c r="AC134" s="2">
        <v>124.9</v>
      </c>
      <c r="AD134" s="2">
        <v>133.4</v>
      </c>
    </row>
    <row r="135" spans="1:30" ht="26.5" thickBot="1" x14ac:dyDescent="0.4">
      <c r="A135" s="1" t="s">
        <v>33</v>
      </c>
      <c r="B135" s="2">
        <v>2016</v>
      </c>
      <c r="C135" s="1" t="s">
        <v>42</v>
      </c>
      <c r="D135" s="2">
        <v>128.1</v>
      </c>
      <c r="E135" s="2">
        <v>137.69999999999999</v>
      </c>
      <c r="F135" s="2">
        <v>130.6</v>
      </c>
      <c r="G135" s="2">
        <v>132.6</v>
      </c>
      <c r="H135" s="2">
        <v>111.9</v>
      </c>
      <c r="I135" s="2">
        <v>132.5</v>
      </c>
      <c r="J135" s="2">
        <v>152.9</v>
      </c>
      <c r="K135" s="2">
        <v>173.6</v>
      </c>
      <c r="L135" s="2">
        <v>115.1</v>
      </c>
      <c r="M135" s="2">
        <v>144.80000000000001</v>
      </c>
      <c r="N135" s="2">
        <v>122.1</v>
      </c>
      <c r="O135" s="2">
        <v>138.80000000000001</v>
      </c>
      <c r="P135" s="2">
        <v>135.69999999999999</v>
      </c>
      <c r="Q135" s="2">
        <v>143.9</v>
      </c>
      <c r="R135" s="2">
        <v>128.69999999999999</v>
      </c>
      <c r="S135" s="2">
        <v>121.6</v>
      </c>
      <c r="T135" s="2">
        <v>127.7</v>
      </c>
      <c r="U135" s="2">
        <v>127.9</v>
      </c>
      <c r="V135" s="2">
        <v>114.8</v>
      </c>
      <c r="W135" s="2">
        <v>124.3</v>
      </c>
      <c r="X135" s="2">
        <v>121.4</v>
      </c>
      <c r="Y135" s="2">
        <v>111.8</v>
      </c>
      <c r="Z135" s="2">
        <v>120.8</v>
      </c>
      <c r="AA135" s="2">
        <v>131.6</v>
      </c>
      <c r="AB135" s="2">
        <v>121.2</v>
      </c>
      <c r="AC135" s="2">
        <v>120.5</v>
      </c>
      <c r="AD135" s="2">
        <v>128</v>
      </c>
    </row>
    <row r="136" spans="1:30" ht="26.5" thickBot="1" x14ac:dyDescent="0.4">
      <c r="A136" s="1" t="s">
        <v>34</v>
      </c>
      <c r="B136" s="2">
        <v>2016</v>
      </c>
      <c r="C136" s="1" t="s">
        <v>42</v>
      </c>
      <c r="D136" s="2">
        <v>129.9</v>
      </c>
      <c r="E136" s="2">
        <v>138</v>
      </c>
      <c r="F136" s="2">
        <v>130.5</v>
      </c>
      <c r="G136" s="2">
        <v>134.4</v>
      </c>
      <c r="H136" s="2">
        <v>117.2</v>
      </c>
      <c r="I136" s="2">
        <v>136.1</v>
      </c>
      <c r="J136" s="2">
        <v>150.69999999999999</v>
      </c>
      <c r="K136" s="2">
        <v>171.5</v>
      </c>
      <c r="L136" s="2">
        <v>113.8</v>
      </c>
      <c r="M136" s="2">
        <v>138.80000000000001</v>
      </c>
      <c r="N136" s="2">
        <v>126</v>
      </c>
      <c r="O136" s="2">
        <v>140.19999999999999</v>
      </c>
      <c r="P136" s="2">
        <v>136.6</v>
      </c>
      <c r="Q136" s="2">
        <v>141</v>
      </c>
      <c r="R136" s="2">
        <v>134.6</v>
      </c>
      <c r="S136" s="2">
        <v>128.6</v>
      </c>
      <c r="T136" s="2">
        <v>133.80000000000001</v>
      </c>
      <c r="U136" s="2">
        <v>127.9</v>
      </c>
      <c r="V136" s="2">
        <v>124.1</v>
      </c>
      <c r="W136" s="2">
        <v>127.9</v>
      </c>
      <c r="X136" s="2">
        <v>125.4</v>
      </c>
      <c r="Y136" s="2">
        <v>114.3</v>
      </c>
      <c r="Z136" s="2">
        <v>122.9</v>
      </c>
      <c r="AA136" s="2">
        <v>131.80000000000001</v>
      </c>
      <c r="AB136" s="2">
        <v>122.1</v>
      </c>
      <c r="AC136" s="2">
        <v>122.8</v>
      </c>
      <c r="AD136" s="2">
        <v>130.9</v>
      </c>
    </row>
    <row r="137" spans="1:30" ht="15" thickBot="1" x14ac:dyDescent="0.4">
      <c r="A137" s="1" t="s">
        <v>30</v>
      </c>
      <c r="B137" s="2">
        <v>2016</v>
      </c>
      <c r="C137" s="1" t="s">
        <v>43</v>
      </c>
      <c r="D137" s="2">
        <v>131.30000000000001</v>
      </c>
      <c r="E137" s="2">
        <v>137.6</v>
      </c>
      <c r="F137" s="2">
        <v>130.1</v>
      </c>
      <c r="G137" s="2">
        <v>136</v>
      </c>
      <c r="H137" s="2">
        <v>120.8</v>
      </c>
      <c r="I137" s="2">
        <v>138.4</v>
      </c>
      <c r="J137" s="2">
        <v>149.19999999999999</v>
      </c>
      <c r="K137" s="2">
        <v>170.2</v>
      </c>
      <c r="L137" s="2">
        <v>113.4</v>
      </c>
      <c r="M137" s="2">
        <v>136.30000000000001</v>
      </c>
      <c r="N137" s="2">
        <v>128.69999999999999</v>
      </c>
      <c r="O137" s="2">
        <v>142.4</v>
      </c>
      <c r="P137" s="2">
        <v>137.4</v>
      </c>
      <c r="Q137" s="2">
        <v>140.9</v>
      </c>
      <c r="R137" s="2">
        <v>139.6</v>
      </c>
      <c r="S137" s="2">
        <v>134.30000000000001</v>
      </c>
      <c r="T137" s="2">
        <v>138.80000000000001</v>
      </c>
      <c r="U137" s="1" t="s">
        <v>32</v>
      </c>
      <c r="V137" s="2">
        <v>129.80000000000001</v>
      </c>
      <c r="W137" s="2">
        <v>131.80000000000001</v>
      </c>
      <c r="X137" s="2">
        <v>128.69999999999999</v>
      </c>
      <c r="Y137" s="2">
        <v>117.8</v>
      </c>
      <c r="Z137" s="2">
        <v>126.5</v>
      </c>
      <c r="AA137" s="2">
        <v>133</v>
      </c>
      <c r="AB137" s="2">
        <v>123</v>
      </c>
      <c r="AC137" s="2">
        <v>125.7</v>
      </c>
      <c r="AD137" s="2">
        <v>133.80000000000001</v>
      </c>
    </row>
    <row r="138" spans="1:30" ht="15" thickBot="1" x14ac:dyDescent="0.4">
      <c r="A138" s="1" t="s">
        <v>33</v>
      </c>
      <c r="B138" s="2">
        <v>2016</v>
      </c>
      <c r="C138" s="1" t="s">
        <v>43</v>
      </c>
      <c r="D138" s="2">
        <v>128.69999999999999</v>
      </c>
      <c r="E138" s="2">
        <v>138.4</v>
      </c>
      <c r="F138" s="2">
        <v>130.30000000000001</v>
      </c>
      <c r="G138" s="2">
        <v>132.69999999999999</v>
      </c>
      <c r="H138" s="2">
        <v>112.5</v>
      </c>
      <c r="I138" s="2">
        <v>130.4</v>
      </c>
      <c r="J138" s="2">
        <v>155.1</v>
      </c>
      <c r="K138" s="2">
        <v>175.7</v>
      </c>
      <c r="L138" s="2">
        <v>115.4</v>
      </c>
      <c r="M138" s="2">
        <v>145.30000000000001</v>
      </c>
      <c r="N138" s="2">
        <v>122.5</v>
      </c>
      <c r="O138" s="2">
        <v>139.6</v>
      </c>
      <c r="P138" s="2">
        <v>136.30000000000001</v>
      </c>
      <c r="Q138" s="2">
        <v>144.30000000000001</v>
      </c>
      <c r="R138" s="2">
        <v>129.1</v>
      </c>
      <c r="S138" s="2">
        <v>121.9</v>
      </c>
      <c r="T138" s="2">
        <v>128</v>
      </c>
      <c r="U138" s="2">
        <v>128.69999999999999</v>
      </c>
      <c r="V138" s="2">
        <v>115.2</v>
      </c>
      <c r="W138" s="2">
        <v>124.5</v>
      </c>
      <c r="X138" s="2">
        <v>121.8</v>
      </c>
      <c r="Y138" s="2">
        <v>112.8</v>
      </c>
      <c r="Z138" s="2">
        <v>121.2</v>
      </c>
      <c r="AA138" s="2">
        <v>131.9</v>
      </c>
      <c r="AB138" s="2">
        <v>120.8</v>
      </c>
      <c r="AC138" s="2">
        <v>120.9</v>
      </c>
      <c r="AD138" s="2">
        <v>128.6</v>
      </c>
    </row>
    <row r="139" spans="1:30" ht="26.5" thickBot="1" x14ac:dyDescent="0.4">
      <c r="A139" s="1" t="s">
        <v>34</v>
      </c>
      <c r="B139" s="2">
        <v>2016</v>
      </c>
      <c r="C139" s="1" t="s">
        <v>43</v>
      </c>
      <c r="D139" s="2">
        <v>130.5</v>
      </c>
      <c r="E139" s="2">
        <v>137.9</v>
      </c>
      <c r="F139" s="2">
        <v>130.19999999999999</v>
      </c>
      <c r="G139" s="2">
        <v>134.80000000000001</v>
      </c>
      <c r="H139" s="2">
        <v>117.8</v>
      </c>
      <c r="I139" s="2">
        <v>134.69999999999999</v>
      </c>
      <c r="J139" s="2">
        <v>151.19999999999999</v>
      </c>
      <c r="K139" s="2">
        <v>172.1</v>
      </c>
      <c r="L139" s="2">
        <v>114.1</v>
      </c>
      <c r="M139" s="2">
        <v>139.30000000000001</v>
      </c>
      <c r="N139" s="2">
        <v>126.1</v>
      </c>
      <c r="O139" s="2">
        <v>141.1</v>
      </c>
      <c r="P139" s="2">
        <v>137</v>
      </c>
      <c r="Q139" s="2">
        <v>141.80000000000001</v>
      </c>
      <c r="R139" s="2">
        <v>135.5</v>
      </c>
      <c r="S139" s="2">
        <v>129.1</v>
      </c>
      <c r="T139" s="2">
        <v>134.5</v>
      </c>
      <c r="U139" s="2">
        <v>128.69999999999999</v>
      </c>
      <c r="V139" s="2">
        <v>124.3</v>
      </c>
      <c r="W139" s="2">
        <v>128.4</v>
      </c>
      <c r="X139" s="2">
        <v>126.1</v>
      </c>
      <c r="Y139" s="2">
        <v>115.2</v>
      </c>
      <c r="Z139" s="2">
        <v>123.5</v>
      </c>
      <c r="AA139" s="2">
        <v>132.4</v>
      </c>
      <c r="AB139" s="2">
        <v>122.1</v>
      </c>
      <c r="AC139" s="2">
        <v>123.4</v>
      </c>
      <c r="AD139" s="2">
        <v>131.4</v>
      </c>
    </row>
    <row r="140" spans="1:30" ht="26.5" thickBot="1" x14ac:dyDescent="0.4">
      <c r="A140" s="1" t="s">
        <v>30</v>
      </c>
      <c r="B140" s="2">
        <v>2016</v>
      </c>
      <c r="C140" s="1" t="s">
        <v>44</v>
      </c>
      <c r="D140" s="2">
        <v>132</v>
      </c>
      <c r="E140" s="2">
        <v>137.4</v>
      </c>
      <c r="F140" s="2">
        <v>130.6</v>
      </c>
      <c r="G140" s="2">
        <v>136.19999999999999</v>
      </c>
      <c r="H140" s="2">
        <v>121.1</v>
      </c>
      <c r="I140" s="2">
        <v>136.9</v>
      </c>
      <c r="J140" s="2">
        <v>141.80000000000001</v>
      </c>
      <c r="K140" s="2">
        <v>170</v>
      </c>
      <c r="L140" s="2">
        <v>113.4</v>
      </c>
      <c r="M140" s="2">
        <v>136.80000000000001</v>
      </c>
      <c r="N140" s="2">
        <v>128.69999999999999</v>
      </c>
      <c r="O140" s="2">
        <v>143.1</v>
      </c>
      <c r="P140" s="2">
        <v>136.6</v>
      </c>
      <c r="Q140" s="2">
        <v>141.19999999999999</v>
      </c>
      <c r="R140" s="2">
        <v>139.9</v>
      </c>
      <c r="S140" s="2">
        <v>134.5</v>
      </c>
      <c r="T140" s="2">
        <v>139.19999999999999</v>
      </c>
      <c r="U140" s="1" t="s">
        <v>32</v>
      </c>
      <c r="V140" s="2">
        <v>130.30000000000001</v>
      </c>
      <c r="W140" s="2">
        <v>132.1</v>
      </c>
      <c r="X140" s="2">
        <v>129.1</v>
      </c>
      <c r="Y140" s="2">
        <v>118.2</v>
      </c>
      <c r="Z140" s="2">
        <v>126.9</v>
      </c>
      <c r="AA140" s="2">
        <v>133.69999999999999</v>
      </c>
      <c r="AB140" s="2">
        <v>123.5</v>
      </c>
      <c r="AC140" s="2">
        <v>126.1</v>
      </c>
      <c r="AD140" s="2">
        <v>133.6</v>
      </c>
    </row>
    <row r="141" spans="1:30" ht="26.5" thickBot="1" x14ac:dyDescent="0.4">
      <c r="A141" s="1" t="s">
        <v>33</v>
      </c>
      <c r="B141" s="2">
        <v>2016</v>
      </c>
      <c r="C141" s="1" t="s">
        <v>44</v>
      </c>
      <c r="D141" s="2">
        <v>130.19999999999999</v>
      </c>
      <c r="E141" s="2">
        <v>138.5</v>
      </c>
      <c r="F141" s="2">
        <v>134.1</v>
      </c>
      <c r="G141" s="2">
        <v>132.9</v>
      </c>
      <c r="H141" s="2">
        <v>112.6</v>
      </c>
      <c r="I141" s="2">
        <v>130.80000000000001</v>
      </c>
      <c r="J141" s="2">
        <v>142</v>
      </c>
      <c r="K141" s="2">
        <v>174.9</v>
      </c>
      <c r="L141" s="2">
        <v>115.6</v>
      </c>
      <c r="M141" s="2">
        <v>145.4</v>
      </c>
      <c r="N141" s="2">
        <v>122.7</v>
      </c>
      <c r="O141" s="2">
        <v>140.30000000000001</v>
      </c>
      <c r="P141" s="2">
        <v>135.19999999999999</v>
      </c>
      <c r="Q141" s="2">
        <v>144.30000000000001</v>
      </c>
      <c r="R141" s="2">
        <v>129.6</v>
      </c>
      <c r="S141" s="2">
        <v>122.1</v>
      </c>
      <c r="T141" s="2">
        <v>128.5</v>
      </c>
      <c r="U141" s="2">
        <v>129.1</v>
      </c>
      <c r="V141" s="2">
        <v>116.2</v>
      </c>
      <c r="W141" s="2">
        <v>124.7</v>
      </c>
      <c r="X141" s="2">
        <v>122.1</v>
      </c>
      <c r="Y141" s="2">
        <v>113.4</v>
      </c>
      <c r="Z141" s="2">
        <v>121.7</v>
      </c>
      <c r="AA141" s="2">
        <v>132.1</v>
      </c>
      <c r="AB141" s="2">
        <v>121.3</v>
      </c>
      <c r="AC141" s="2">
        <v>121.3</v>
      </c>
      <c r="AD141" s="2">
        <v>128.5</v>
      </c>
    </row>
    <row r="142" spans="1:30" ht="26.5" thickBot="1" x14ac:dyDescent="0.4">
      <c r="A142" s="1" t="s">
        <v>34</v>
      </c>
      <c r="B142" s="2">
        <v>2016</v>
      </c>
      <c r="C142" s="1" t="s">
        <v>44</v>
      </c>
      <c r="D142" s="2">
        <v>131.4</v>
      </c>
      <c r="E142" s="2">
        <v>137.80000000000001</v>
      </c>
      <c r="F142" s="2">
        <v>132</v>
      </c>
      <c r="G142" s="2">
        <v>135</v>
      </c>
      <c r="H142" s="2">
        <v>118</v>
      </c>
      <c r="I142" s="2">
        <v>134.1</v>
      </c>
      <c r="J142" s="2">
        <v>141.9</v>
      </c>
      <c r="K142" s="2">
        <v>171.7</v>
      </c>
      <c r="L142" s="2">
        <v>114.1</v>
      </c>
      <c r="M142" s="2">
        <v>139.69999999999999</v>
      </c>
      <c r="N142" s="2">
        <v>126.2</v>
      </c>
      <c r="O142" s="2">
        <v>141.80000000000001</v>
      </c>
      <c r="P142" s="2">
        <v>136.1</v>
      </c>
      <c r="Q142" s="2">
        <v>142</v>
      </c>
      <c r="R142" s="2">
        <v>135.80000000000001</v>
      </c>
      <c r="S142" s="2">
        <v>129.30000000000001</v>
      </c>
      <c r="T142" s="2">
        <v>135</v>
      </c>
      <c r="U142" s="2">
        <v>129.1</v>
      </c>
      <c r="V142" s="2">
        <v>125</v>
      </c>
      <c r="W142" s="2">
        <v>128.6</v>
      </c>
      <c r="X142" s="2">
        <v>126.4</v>
      </c>
      <c r="Y142" s="2">
        <v>115.7</v>
      </c>
      <c r="Z142" s="2">
        <v>124</v>
      </c>
      <c r="AA142" s="2">
        <v>132.80000000000001</v>
      </c>
      <c r="AB142" s="2">
        <v>122.6</v>
      </c>
      <c r="AC142" s="2">
        <v>123.8</v>
      </c>
      <c r="AD142" s="2">
        <v>131.19999999999999</v>
      </c>
    </row>
    <row r="143" spans="1:30" ht="26.5" thickBot="1" x14ac:dyDescent="0.4">
      <c r="A143" s="1" t="s">
        <v>30</v>
      </c>
      <c r="B143" s="2">
        <v>2016</v>
      </c>
      <c r="C143" s="1" t="s">
        <v>45</v>
      </c>
      <c r="D143" s="2">
        <v>132.6</v>
      </c>
      <c r="E143" s="2">
        <v>137.30000000000001</v>
      </c>
      <c r="F143" s="2">
        <v>131.6</v>
      </c>
      <c r="G143" s="2">
        <v>136.30000000000001</v>
      </c>
      <c r="H143" s="2">
        <v>121.6</v>
      </c>
      <c r="I143" s="2">
        <v>135.6</v>
      </c>
      <c r="J143" s="2">
        <v>127.5</v>
      </c>
      <c r="K143" s="2">
        <v>167.9</v>
      </c>
      <c r="L143" s="2">
        <v>113.8</v>
      </c>
      <c r="M143" s="2">
        <v>137.5</v>
      </c>
      <c r="N143" s="2">
        <v>129.1</v>
      </c>
      <c r="O143" s="2">
        <v>143.6</v>
      </c>
      <c r="P143" s="2">
        <v>134.69999999999999</v>
      </c>
      <c r="Q143" s="2">
        <v>142.4</v>
      </c>
      <c r="R143" s="2">
        <v>140.4</v>
      </c>
      <c r="S143" s="2">
        <v>135.19999999999999</v>
      </c>
      <c r="T143" s="2">
        <v>139.69999999999999</v>
      </c>
      <c r="U143" s="1" t="s">
        <v>32</v>
      </c>
      <c r="V143" s="2">
        <v>132</v>
      </c>
      <c r="W143" s="2">
        <v>132.9</v>
      </c>
      <c r="X143" s="2">
        <v>129.69999999999999</v>
      </c>
      <c r="Y143" s="2">
        <v>118.6</v>
      </c>
      <c r="Z143" s="2">
        <v>127.3</v>
      </c>
      <c r="AA143" s="2">
        <v>134.19999999999999</v>
      </c>
      <c r="AB143" s="2">
        <v>121.9</v>
      </c>
      <c r="AC143" s="2">
        <v>126.3</v>
      </c>
      <c r="AD143" s="2">
        <v>132.80000000000001</v>
      </c>
    </row>
    <row r="144" spans="1:30" ht="26.5" thickBot="1" x14ac:dyDescent="0.4">
      <c r="A144" s="1" t="s">
        <v>33</v>
      </c>
      <c r="B144" s="2">
        <v>2016</v>
      </c>
      <c r="C144" s="1" t="s">
        <v>45</v>
      </c>
      <c r="D144" s="2">
        <v>131.6</v>
      </c>
      <c r="E144" s="2">
        <v>138.19999999999999</v>
      </c>
      <c r="F144" s="2">
        <v>134.9</v>
      </c>
      <c r="G144" s="2">
        <v>133.1</v>
      </c>
      <c r="H144" s="2">
        <v>113.5</v>
      </c>
      <c r="I144" s="2">
        <v>129.30000000000001</v>
      </c>
      <c r="J144" s="2">
        <v>121.1</v>
      </c>
      <c r="K144" s="2">
        <v>170.3</v>
      </c>
      <c r="L144" s="2">
        <v>115.5</v>
      </c>
      <c r="M144" s="2">
        <v>145.5</v>
      </c>
      <c r="N144" s="2">
        <v>123.1</v>
      </c>
      <c r="O144" s="2">
        <v>140.9</v>
      </c>
      <c r="P144" s="2">
        <v>132.80000000000001</v>
      </c>
      <c r="Q144" s="2">
        <v>145</v>
      </c>
      <c r="R144" s="2">
        <v>130</v>
      </c>
      <c r="S144" s="2">
        <v>122.2</v>
      </c>
      <c r="T144" s="2">
        <v>128.80000000000001</v>
      </c>
      <c r="U144" s="2">
        <v>128.5</v>
      </c>
      <c r="V144" s="2">
        <v>117.8</v>
      </c>
      <c r="W144" s="2">
        <v>125</v>
      </c>
      <c r="X144" s="2">
        <v>122.3</v>
      </c>
      <c r="Y144" s="2">
        <v>113.7</v>
      </c>
      <c r="Z144" s="2">
        <v>121.8</v>
      </c>
      <c r="AA144" s="2">
        <v>132.30000000000001</v>
      </c>
      <c r="AB144" s="2">
        <v>119.9</v>
      </c>
      <c r="AC144" s="2">
        <v>121.4</v>
      </c>
      <c r="AD144" s="2">
        <v>127.6</v>
      </c>
    </row>
    <row r="145" spans="1:30" ht="26.5" thickBot="1" x14ac:dyDescent="0.4">
      <c r="A145" s="1" t="s">
        <v>34</v>
      </c>
      <c r="B145" s="2">
        <v>2016</v>
      </c>
      <c r="C145" s="1" t="s">
        <v>45</v>
      </c>
      <c r="D145" s="2">
        <v>132.30000000000001</v>
      </c>
      <c r="E145" s="2">
        <v>137.6</v>
      </c>
      <c r="F145" s="2">
        <v>132.9</v>
      </c>
      <c r="G145" s="2">
        <v>135.1</v>
      </c>
      <c r="H145" s="2">
        <v>118.6</v>
      </c>
      <c r="I145" s="2">
        <v>132.69999999999999</v>
      </c>
      <c r="J145" s="2">
        <v>125.3</v>
      </c>
      <c r="K145" s="2">
        <v>168.7</v>
      </c>
      <c r="L145" s="2">
        <v>114.4</v>
      </c>
      <c r="M145" s="2">
        <v>140.19999999999999</v>
      </c>
      <c r="N145" s="2">
        <v>126.6</v>
      </c>
      <c r="O145" s="2">
        <v>142.30000000000001</v>
      </c>
      <c r="P145" s="2">
        <v>134</v>
      </c>
      <c r="Q145" s="2">
        <v>143.1</v>
      </c>
      <c r="R145" s="2">
        <v>136.30000000000001</v>
      </c>
      <c r="S145" s="2">
        <v>129.80000000000001</v>
      </c>
      <c r="T145" s="2">
        <v>135.4</v>
      </c>
      <c r="U145" s="2">
        <v>128.5</v>
      </c>
      <c r="V145" s="2">
        <v>126.6</v>
      </c>
      <c r="W145" s="2">
        <v>129.19999999999999</v>
      </c>
      <c r="X145" s="2">
        <v>126.9</v>
      </c>
      <c r="Y145" s="2">
        <v>116</v>
      </c>
      <c r="Z145" s="2">
        <v>124.2</v>
      </c>
      <c r="AA145" s="2">
        <v>133.1</v>
      </c>
      <c r="AB145" s="2">
        <v>121.1</v>
      </c>
      <c r="AC145" s="2">
        <v>123.9</v>
      </c>
      <c r="AD145" s="2">
        <v>130.4</v>
      </c>
    </row>
    <row r="146" spans="1:30" ht="15" thickBot="1" x14ac:dyDescent="0.4">
      <c r="A146" s="1" t="s">
        <v>30</v>
      </c>
      <c r="B146" s="2">
        <v>2017</v>
      </c>
      <c r="C146" s="1" t="s">
        <v>31</v>
      </c>
      <c r="D146" s="2">
        <v>133.1</v>
      </c>
      <c r="E146" s="2">
        <v>137.80000000000001</v>
      </c>
      <c r="F146" s="2">
        <v>131.9</v>
      </c>
      <c r="G146" s="2">
        <v>136.69999999999999</v>
      </c>
      <c r="H146" s="2">
        <v>122</v>
      </c>
      <c r="I146" s="2">
        <v>136</v>
      </c>
      <c r="J146" s="2">
        <v>119.8</v>
      </c>
      <c r="K146" s="2">
        <v>161.69999999999999</v>
      </c>
      <c r="L146" s="2">
        <v>114.8</v>
      </c>
      <c r="M146" s="2">
        <v>136.9</v>
      </c>
      <c r="N146" s="2">
        <v>129</v>
      </c>
      <c r="O146" s="2">
        <v>143.9</v>
      </c>
      <c r="P146" s="2">
        <v>133.69999999999999</v>
      </c>
      <c r="Q146" s="2">
        <v>143.1</v>
      </c>
      <c r="R146" s="2">
        <v>140.69999999999999</v>
      </c>
      <c r="S146" s="2">
        <v>135.80000000000001</v>
      </c>
      <c r="T146" s="2">
        <v>140</v>
      </c>
      <c r="U146" s="1" t="s">
        <v>32</v>
      </c>
      <c r="V146" s="2">
        <v>132.1</v>
      </c>
      <c r="W146" s="2">
        <v>133.19999999999999</v>
      </c>
      <c r="X146" s="2">
        <v>129.9</v>
      </c>
      <c r="Y146" s="2">
        <v>119.1</v>
      </c>
      <c r="Z146" s="2">
        <v>127</v>
      </c>
      <c r="AA146" s="2">
        <v>134.6</v>
      </c>
      <c r="AB146" s="2">
        <v>122.3</v>
      </c>
      <c r="AC146" s="2">
        <v>126.6</v>
      </c>
      <c r="AD146" s="2">
        <v>132.4</v>
      </c>
    </row>
    <row r="147" spans="1:30" ht="15" thickBot="1" x14ac:dyDescent="0.4">
      <c r="A147" s="1" t="s">
        <v>33</v>
      </c>
      <c r="B147" s="2">
        <v>2017</v>
      </c>
      <c r="C147" s="1" t="s">
        <v>31</v>
      </c>
      <c r="D147" s="2">
        <v>132.19999999999999</v>
      </c>
      <c r="E147" s="2">
        <v>138.9</v>
      </c>
      <c r="F147" s="2">
        <v>132.6</v>
      </c>
      <c r="G147" s="2">
        <v>133.1</v>
      </c>
      <c r="H147" s="2">
        <v>114</v>
      </c>
      <c r="I147" s="2">
        <v>129.6</v>
      </c>
      <c r="J147" s="2">
        <v>118.7</v>
      </c>
      <c r="K147" s="2">
        <v>155.1</v>
      </c>
      <c r="L147" s="2">
        <v>117.3</v>
      </c>
      <c r="M147" s="2">
        <v>144.9</v>
      </c>
      <c r="N147" s="2">
        <v>123.2</v>
      </c>
      <c r="O147" s="2">
        <v>141.6</v>
      </c>
      <c r="P147" s="2">
        <v>132</v>
      </c>
      <c r="Q147" s="2">
        <v>145.6</v>
      </c>
      <c r="R147" s="2">
        <v>130.19999999999999</v>
      </c>
      <c r="S147" s="2">
        <v>122.3</v>
      </c>
      <c r="T147" s="2">
        <v>129</v>
      </c>
      <c r="U147" s="2">
        <v>129.6</v>
      </c>
      <c r="V147" s="2">
        <v>118</v>
      </c>
      <c r="W147" s="2">
        <v>125.1</v>
      </c>
      <c r="X147" s="2">
        <v>122.6</v>
      </c>
      <c r="Y147" s="2">
        <v>115.2</v>
      </c>
      <c r="Z147" s="2">
        <v>122</v>
      </c>
      <c r="AA147" s="2">
        <v>132.4</v>
      </c>
      <c r="AB147" s="2">
        <v>120.9</v>
      </c>
      <c r="AC147" s="2">
        <v>122.1</v>
      </c>
      <c r="AD147" s="2">
        <v>127.8</v>
      </c>
    </row>
    <row r="148" spans="1:30" ht="26.5" thickBot="1" x14ac:dyDescent="0.4">
      <c r="A148" s="1" t="s">
        <v>34</v>
      </c>
      <c r="B148" s="2">
        <v>2017</v>
      </c>
      <c r="C148" s="1" t="s">
        <v>31</v>
      </c>
      <c r="D148" s="2">
        <v>132.80000000000001</v>
      </c>
      <c r="E148" s="2">
        <v>138.19999999999999</v>
      </c>
      <c r="F148" s="2">
        <v>132.19999999999999</v>
      </c>
      <c r="G148" s="2">
        <v>135.4</v>
      </c>
      <c r="H148" s="2">
        <v>119.1</v>
      </c>
      <c r="I148" s="2">
        <v>133</v>
      </c>
      <c r="J148" s="2">
        <v>119.4</v>
      </c>
      <c r="K148" s="2">
        <v>159.5</v>
      </c>
      <c r="L148" s="2">
        <v>115.6</v>
      </c>
      <c r="M148" s="2">
        <v>139.6</v>
      </c>
      <c r="N148" s="2">
        <v>126.6</v>
      </c>
      <c r="O148" s="2">
        <v>142.80000000000001</v>
      </c>
      <c r="P148" s="2">
        <v>133.1</v>
      </c>
      <c r="Q148" s="2">
        <v>143.80000000000001</v>
      </c>
      <c r="R148" s="2">
        <v>136.6</v>
      </c>
      <c r="S148" s="2">
        <v>130.19999999999999</v>
      </c>
      <c r="T148" s="2">
        <v>135.6</v>
      </c>
      <c r="U148" s="2">
        <v>129.6</v>
      </c>
      <c r="V148" s="2">
        <v>126.8</v>
      </c>
      <c r="W148" s="2">
        <v>129.4</v>
      </c>
      <c r="X148" s="2">
        <v>127.1</v>
      </c>
      <c r="Y148" s="2">
        <v>117</v>
      </c>
      <c r="Z148" s="2">
        <v>124.2</v>
      </c>
      <c r="AA148" s="2">
        <v>133.30000000000001</v>
      </c>
      <c r="AB148" s="2">
        <v>121.7</v>
      </c>
      <c r="AC148" s="2">
        <v>124.4</v>
      </c>
      <c r="AD148" s="2">
        <v>130.30000000000001</v>
      </c>
    </row>
    <row r="149" spans="1:30" ht="15" thickBot="1" x14ac:dyDescent="0.4">
      <c r="A149" s="1" t="s">
        <v>30</v>
      </c>
      <c r="B149" s="2">
        <v>2017</v>
      </c>
      <c r="C149" s="1" t="s">
        <v>35</v>
      </c>
      <c r="D149" s="2">
        <v>133.30000000000001</v>
      </c>
      <c r="E149" s="2">
        <v>138.30000000000001</v>
      </c>
      <c r="F149" s="2">
        <v>129.30000000000001</v>
      </c>
      <c r="G149" s="2">
        <v>137.19999999999999</v>
      </c>
      <c r="H149" s="2">
        <v>122.1</v>
      </c>
      <c r="I149" s="2">
        <v>138.69999999999999</v>
      </c>
      <c r="J149" s="2">
        <v>119.1</v>
      </c>
      <c r="K149" s="2">
        <v>156.9</v>
      </c>
      <c r="L149" s="2">
        <v>116.2</v>
      </c>
      <c r="M149" s="2">
        <v>136</v>
      </c>
      <c r="N149" s="2">
        <v>129.4</v>
      </c>
      <c r="O149" s="2">
        <v>144.4</v>
      </c>
      <c r="P149" s="2">
        <v>133.6</v>
      </c>
      <c r="Q149" s="2">
        <v>143.69999999999999</v>
      </c>
      <c r="R149" s="2">
        <v>140.9</v>
      </c>
      <c r="S149" s="2">
        <v>135.80000000000001</v>
      </c>
      <c r="T149" s="2">
        <v>140.19999999999999</v>
      </c>
      <c r="U149" s="1" t="s">
        <v>32</v>
      </c>
      <c r="V149" s="2">
        <v>133.19999999999999</v>
      </c>
      <c r="W149" s="2">
        <v>133.6</v>
      </c>
      <c r="X149" s="2">
        <v>130.1</v>
      </c>
      <c r="Y149" s="2">
        <v>119.5</v>
      </c>
      <c r="Z149" s="2">
        <v>127.7</v>
      </c>
      <c r="AA149" s="2">
        <v>134.9</v>
      </c>
      <c r="AB149" s="2">
        <v>123.2</v>
      </c>
      <c r="AC149" s="2">
        <v>127</v>
      </c>
      <c r="AD149" s="2">
        <v>132.6</v>
      </c>
    </row>
    <row r="150" spans="1:30" ht="15" thickBot="1" x14ac:dyDescent="0.4">
      <c r="A150" s="1" t="s">
        <v>33</v>
      </c>
      <c r="B150" s="2">
        <v>2017</v>
      </c>
      <c r="C150" s="1" t="s">
        <v>35</v>
      </c>
      <c r="D150" s="2">
        <v>132.80000000000001</v>
      </c>
      <c r="E150" s="2">
        <v>139.80000000000001</v>
      </c>
      <c r="F150" s="2">
        <v>129.30000000000001</v>
      </c>
      <c r="G150" s="2">
        <v>133.5</v>
      </c>
      <c r="H150" s="2">
        <v>114.3</v>
      </c>
      <c r="I150" s="2">
        <v>131.4</v>
      </c>
      <c r="J150" s="2">
        <v>120.2</v>
      </c>
      <c r="K150" s="2">
        <v>143.1</v>
      </c>
      <c r="L150" s="2">
        <v>119.5</v>
      </c>
      <c r="M150" s="2">
        <v>144</v>
      </c>
      <c r="N150" s="2">
        <v>123.4</v>
      </c>
      <c r="O150" s="2">
        <v>141.9</v>
      </c>
      <c r="P150" s="2">
        <v>132.1</v>
      </c>
      <c r="Q150" s="2">
        <v>146.30000000000001</v>
      </c>
      <c r="R150" s="2">
        <v>130.5</v>
      </c>
      <c r="S150" s="2">
        <v>122.5</v>
      </c>
      <c r="T150" s="2">
        <v>129.30000000000001</v>
      </c>
      <c r="U150" s="2">
        <v>130.5</v>
      </c>
      <c r="V150" s="2">
        <v>119.2</v>
      </c>
      <c r="W150" s="2">
        <v>125.3</v>
      </c>
      <c r="X150" s="2">
        <v>122.9</v>
      </c>
      <c r="Y150" s="2">
        <v>115.5</v>
      </c>
      <c r="Z150" s="2">
        <v>122.2</v>
      </c>
      <c r="AA150" s="2">
        <v>132.4</v>
      </c>
      <c r="AB150" s="2">
        <v>121.7</v>
      </c>
      <c r="AC150" s="2">
        <v>122.4</v>
      </c>
      <c r="AD150" s="2">
        <v>128.19999999999999</v>
      </c>
    </row>
    <row r="151" spans="1:30" ht="26.5" thickBot="1" x14ac:dyDescent="0.4">
      <c r="A151" s="1" t="s">
        <v>34</v>
      </c>
      <c r="B151" s="2">
        <v>2017</v>
      </c>
      <c r="C151" s="1" t="s">
        <v>35</v>
      </c>
      <c r="D151" s="2">
        <v>133.1</v>
      </c>
      <c r="E151" s="2">
        <v>138.80000000000001</v>
      </c>
      <c r="F151" s="2">
        <v>129.30000000000001</v>
      </c>
      <c r="G151" s="2">
        <v>135.80000000000001</v>
      </c>
      <c r="H151" s="2">
        <v>119.2</v>
      </c>
      <c r="I151" s="2">
        <v>135.30000000000001</v>
      </c>
      <c r="J151" s="2">
        <v>119.5</v>
      </c>
      <c r="K151" s="2">
        <v>152.19999999999999</v>
      </c>
      <c r="L151" s="2">
        <v>117.3</v>
      </c>
      <c r="M151" s="2">
        <v>138.69999999999999</v>
      </c>
      <c r="N151" s="2">
        <v>126.9</v>
      </c>
      <c r="O151" s="2">
        <v>143.19999999999999</v>
      </c>
      <c r="P151" s="2">
        <v>133</v>
      </c>
      <c r="Q151" s="2">
        <v>144.4</v>
      </c>
      <c r="R151" s="2">
        <v>136.80000000000001</v>
      </c>
      <c r="S151" s="2">
        <v>130.30000000000001</v>
      </c>
      <c r="T151" s="2">
        <v>135.9</v>
      </c>
      <c r="U151" s="2">
        <v>130.5</v>
      </c>
      <c r="V151" s="2">
        <v>127.9</v>
      </c>
      <c r="W151" s="2">
        <v>129.69999999999999</v>
      </c>
      <c r="X151" s="2">
        <v>127.4</v>
      </c>
      <c r="Y151" s="2">
        <v>117.4</v>
      </c>
      <c r="Z151" s="2">
        <v>124.6</v>
      </c>
      <c r="AA151" s="2">
        <v>133.4</v>
      </c>
      <c r="AB151" s="2">
        <v>122.6</v>
      </c>
      <c r="AC151" s="2">
        <v>124.8</v>
      </c>
      <c r="AD151" s="2">
        <v>130.6</v>
      </c>
    </row>
    <row r="152" spans="1:30" ht="15" thickBot="1" x14ac:dyDescent="0.4">
      <c r="A152" s="1" t="s">
        <v>30</v>
      </c>
      <c r="B152" s="2">
        <v>2017</v>
      </c>
      <c r="C152" s="1" t="s">
        <v>36</v>
      </c>
      <c r="D152" s="2">
        <v>133.6</v>
      </c>
      <c r="E152" s="2">
        <v>138.80000000000001</v>
      </c>
      <c r="F152" s="2">
        <v>128.80000000000001</v>
      </c>
      <c r="G152" s="2">
        <v>137.19999999999999</v>
      </c>
      <c r="H152" s="2">
        <v>121.6</v>
      </c>
      <c r="I152" s="2">
        <v>139.69999999999999</v>
      </c>
      <c r="J152" s="2">
        <v>119.7</v>
      </c>
      <c r="K152" s="2">
        <v>148</v>
      </c>
      <c r="L152" s="2">
        <v>116.9</v>
      </c>
      <c r="M152" s="2">
        <v>135.6</v>
      </c>
      <c r="N152" s="2">
        <v>129.80000000000001</v>
      </c>
      <c r="O152" s="2">
        <v>145.4</v>
      </c>
      <c r="P152" s="2">
        <v>133.4</v>
      </c>
      <c r="Q152" s="2">
        <v>144.19999999999999</v>
      </c>
      <c r="R152" s="2">
        <v>141.6</v>
      </c>
      <c r="S152" s="2">
        <v>136.19999999999999</v>
      </c>
      <c r="T152" s="2">
        <v>140.80000000000001</v>
      </c>
      <c r="U152" s="1" t="s">
        <v>32</v>
      </c>
      <c r="V152" s="2">
        <v>134.19999999999999</v>
      </c>
      <c r="W152" s="2">
        <v>134.1</v>
      </c>
      <c r="X152" s="2">
        <v>130.6</v>
      </c>
      <c r="Y152" s="2">
        <v>119.8</v>
      </c>
      <c r="Z152" s="2">
        <v>128.30000000000001</v>
      </c>
      <c r="AA152" s="2">
        <v>135.19999999999999</v>
      </c>
      <c r="AB152" s="2">
        <v>123.3</v>
      </c>
      <c r="AC152" s="2">
        <v>127.4</v>
      </c>
      <c r="AD152" s="2">
        <v>132.80000000000001</v>
      </c>
    </row>
    <row r="153" spans="1:30" ht="15" thickBot="1" x14ac:dyDescent="0.4">
      <c r="A153" s="1" t="s">
        <v>33</v>
      </c>
      <c r="B153" s="2">
        <v>2017</v>
      </c>
      <c r="C153" s="1" t="s">
        <v>36</v>
      </c>
      <c r="D153" s="2">
        <v>132.69999999999999</v>
      </c>
      <c r="E153" s="2">
        <v>139.4</v>
      </c>
      <c r="F153" s="2">
        <v>128.4</v>
      </c>
      <c r="G153" s="2">
        <v>134.9</v>
      </c>
      <c r="H153" s="2">
        <v>114</v>
      </c>
      <c r="I153" s="2">
        <v>136.80000000000001</v>
      </c>
      <c r="J153" s="2">
        <v>122.2</v>
      </c>
      <c r="K153" s="2">
        <v>135.80000000000001</v>
      </c>
      <c r="L153" s="2">
        <v>120.3</v>
      </c>
      <c r="M153" s="2">
        <v>142.6</v>
      </c>
      <c r="N153" s="2">
        <v>123.6</v>
      </c>
      <c r="O153" s="2">
        <v>142.4</v>
      </c>
      <c r="P153" s="2">
        <v>132.6</v>
      </c>
      <c r="Q153" s="2">
        <v>147.5</v>
      </c>
      <c r="R153" s="2">
        <v>130.80000000000001</v>
      </c>
      <c r="S153" s="2">
        <v>122.8</v>
      </c>
      <c r="T153" s="2">
        <v>129.6</v>
      </c>
      <c r="U153" s="2">
        <v>131.1</v>
      </c>
      <c r="V153" s="2">
        <v>120.8</v>
      </c>
      <c r="W153" s="2">
        <v>125.6</v>
      </c>
      <c r="X153" s="2">
        <v>123.1</v>
      </c>
      <c r="Y153" s="2">
        <v>115.6</v>
      </c>
      <c r="Z153" s="2">
        <v>122.4</v>
      </c>
      <c r="AA153" s="2">
        <v>132.80000000000001</v>
      </c>
      <c r="AB153" s="2">
        <v>121.7</v>
      </c>
      <c r="AC153" s="2">
        <v>122.6</v>
      </c>
      <c r="AD153" s="2">
        <v>128.69999999999999</v>
      </c>
    </row>
    <row r="154" spans="1:30" ht="26.5" thickBot="1" x14ac:dyDescent="0.4">
      <c r="A154" s="1" t="s">
        <v>34</v>
      </c>
      <c r="B154" s="2">
        <v>2017</v>
      </c>
      <c r="C154" s="1" t="s">
        <v>36</v>
      </c>
      <c r="D154" s="2">
        <v>133.30000000000001</v>
      </c>
      <c r="E154" s="2">
        <v>139</v>
      </c>
      <c r="F154" s="2">
        <v>128.6</v>
      </c>
      <c r="G154" s="2">
        <v>136.30000000000001</v>
      </c>
      <c r="H154" s="2">
        <v>118.8</v>
      </c>
      <c r="I154" s="2">
        <v>138.30000000000001</v>
      </c>
      <c r="J154" s="2">
        <v>120.5</v>
      </c>
      <c r="K154" s="2">
        <v>143.9</v>
      </c>
      <c r="L154" s="2">
        <v>118</v>
      </c>
      <c r="M154" s="2">
        <v>137.9</v>
      </c>
      <c r="N154" s="2">
        <v>127.2</v>
      </c>
      <c r="O154" s="2">
        <v>144</v>
      </c>
      <c r="P154" s="2">
        <v>133.1</v>
      </c>
      <c r="Q154" s="2">
        <v>145.1</v>
      </c>
      <c r="R154" s="2">
        <v>137.30000000000001</v>
      </c>
      <c r="S154" s="2">
        <v>130.6</v>
      </c>
      <c r="T154" s="2">
        <v>136.4</v>
      </c>
      <c r="U154" s="2">
        <v>131.1</v>
      </c>
      <c r="V154" s="2">
        <v>129.1</v>
      </c>
      <c r="W154" s="2">
        <v>130.1</v>
      </c>
      <c r="X154" s="2">
        <v>127.8</v>
      </c>
      <c r="Y154" s="2">
        <v>117.6</v>
      </c>
      <c r="Z154" s="2">
        <v>125</v>
      </c>
      <c r="AA154" s="2">
        <v>133.80000000000001</v>
      </c>
      <c r="AB154" s="2">
        <v>122.6</v>
      </c>
      <c r="AC154" s="2">
        <v>125.1</v>
      </c>
      <c r="AD154" s="2">
        <v>130.9</v>
      </c>
    </row>
    <row r="155" spans="1:30" ht="15" thickBot="1" x14ac:dyDescent="0.4">
      <c r="A155" s="1" t="s">
        <v>30</v>
      </c>
      <c r="B155" s="2">
        <v>2017</v>
      </c>
      <c r="C155" s="1" t="s">
        <v>37</v>
      </c>
      <c r="D155" s="2">
        <v>133.19999999999999</v>
      </c>
      <c r="E155" s="2">
        <v>138.69999999999999</v>
      </c>
      <c r="F155" s="2">
        <v>127.1</v>
      </c>
      <c r="G155" s="2">
        <v>137.69999999999999</v>
      </c>
      <c r="H155" s="2">
        <v>121.3</v>
      </c>
      <c r="I155" s="2">
        <v>141.80000000000001</v>
      </c>
      <c r="J155" s="2">
        <v>121.5</v>
      </c>
      <c r="K155" s="2">
        <v>144.5</v>
      </c>
      <c r="L155" s="2">
        <v>117.4</v>
      </c>
      <c r="M155" s="2">
        <v>134.1</v>
      </c>
      <c r="N155" s="2">
        <v>130</v>
      </c>
      <c r="O155" s="2">
        <v>145.5</v>
      </c>
      <c r="P155" s="2">
        <v>133.5</v>
      </c>
      <c r="Q155" s="2">
        <v>144.4</v>
      </c>
      <c r="R155" s="2">
        <v>142.4</v>
      </c>
      <c r="S155" s="2">
        <v>136.80000000000001</v>
      </c>
      <c r="T155" s="2">
        <v>141.6</v>
      </c>
      <c r="U155" s="1" t="s">
        <v>32</v>
      </c>
      <c r="V155" s="2">
        <v>135</v>
      </c>
      <c r="W155" s="2">
        <v>134.30000000000001</v>
      </c>
      <c r="X155" s="2">
        <v>131</v>
      </c>
      <c r="Y155" s="2">
        <v>119.2</v>
      </c>
      <c r="Z155" s="2">
        <v>128.30000000000001</v>
      </c>
      <c r="AA155" s="2">
        <v>135.69999999999999</v>
      </c>
      <c r="AB155" s="2">
        <v>123.7</v>
      </c>
      <c r="AC155" s="2">
        <v>127.5</v>
      </c>
      <c r="AD155" s="2">
        <v>132.9</v>
      </c>
    </row>
    <row r="156" spans="1:30" ht="15" thickBot="1" x14ac:dyDescent="0.4">
      <c r="A156" s="1" t="s">
        <v>33</v>
      </c>
      <c r="B156" s="2">
        <v>2017</v>
      </c>
      <c r="C156" s="1" t="s">
        <v>37</v>
      </c>
      <c r="D156" s="2">
        <v>132.69999999999999</v>
      </c>
      <c r="E156" s="2">
        <v>140.6</v>
      </c>
      <c r="F156" s="2">
        <v>124.5</v>
      </c>
      <c r="G156" s="2">
        <v>136.30000000000001</v>
      </c>
      <c r="H156" s="2">
        <v>113.5</v>
      </c>
      <c r="I156" s="2">
        <v>137.69999999999999</v>
      </c>
      <c r="J156" s="2">
        <v>127.1</v>
      </c>
      <c r="K156" s="2">
        <v>133.80000000000001</v>
      </c>
      <c r="L156" s="2">
        <v>120.8</v>
      </c>
      <c r="M156" s="2">
        <v>141.30000000000001</v>
      </c>
      <c r="N156" s="2">
        <v>123.8</v>
      </c>
      <c r="O156" s="2">
        <v>142.6</v>
      </c>
      <c r="P156" s="2">
        <v>133.4</v>
      </c>
      <c r="Q156" s="2">
        <v>148</v>
      </c>
      <c r="R156" s="2">
        <v>131.19999999999999</v>
      </c>
      <c r="S156" s="2">
        <v>123</v>
      </c>
      <c r="T156" s="2">
        <v>130</v>
      </c>
      <c r="U156" s="2">
        <v>131.69999999999999</v>
      </c>
      <c r="V156" s="2">
        <v>121.4</v>
      </c>
      <c r="W156" s="2">
        <v>126</v>
      </c>
      <c r="X156" s="2">
        <v>123.4</v>
      </c>
      <c r="Y156" s="2">
        <v>114.3</v>
      </c>
      <c r="Z156" s="2">
        <v>122.6</v>
      </c>
      <c r="AA156" s="2">
        <v>133.6</v>
      </c>
      <c r="AB156" s="2">
        <v>122.2</v>
      </c>
      <c r="AC156" s="2">
        <v>122.5</v>
      </c>
      <c r="AD156" s="2">
        <v>129.1</v>
      </c>
    </row>
    <row r="157" spans="1:30" ht="26.5" thickBot="1" x14ac:dyDescent="0.4">
      <c r="A157" s="1" t="s">
        <v>34</v>
      </c>
      <c r="B157" s="2">
        <v>2017</v>
      </c>
      <c r="C157" s="1" t="s">
        <v>37</v>
      </c>
      <c r="D157" s="2">
        <v>133</v>
      </c>
      <c r="E157" s="2">
        <v>139.4</v>
      </c>
      <c r="F157" s="2">
        <v>126.1</v>
      </c>
      <c r="G157" s="2">
        <v>137.19999999999999</v>
      </c>
      <c r="H157" s="2">
        <v>118.4</v>
      </c>
      <c r="I157" s="2">
        <v>139.9</v>
      </c>
      <c r="J157" s="2">
        <v>123.4</v>
      </c>
      <c r="K157" s="2">
        <v>140.9</v>
      </c>
      <c r="L157" s="2">
        <v>118.5</v>
      </c>
      <c r="M157" s="2">
        <v>136.5</v>
      </c>
      <c r="N157" s="2">
        <v>127.4</v>
      </c>
      <c r="O157" s="2">
        <v>144.19999999999999</v>
      </c>
      <c r="P157" s="2">
        <v>133.5</v>
      </c>
      <c r="Q157" s="2">
        <v>145.4</v>
      </c>
      <c r="R157" s="2">
        <v>138</v>
      </c>
      <c r="S157" s="2">
        <v>131.1</v>
      </c>
      <c r="T157" s="2">
        <v>137</v>
      </c>
      <c r="U157" s="2">
        <v>131.69999999999999</v>
      </c>
      <c r="V157" s="2">
        <v>129.80000000000001</v>
      </c>
      <c r="W157" s="2">
        <v>130.4</v>
      </c>
      <c r="X157" s="2">
        <v>128.1</v>
      </c>
      <c r="Y157" s="2">
        <v>116.6</v>
      </c>
      <c r="Z157" s="2">
        <v>125.1</v>
      </c>
      <c r="AA157" s="2">
        <v>134.5</v>
      </c>
      <c r="AB157" s="2">
        <v>123.1</v>
      </c>
      <c r="AC157" s="2">
        <v>125.1</v>
      </c>
      <c r="AD157" s="2">
        <v>131.1</v>
      </c>
    </row>
    <row r="158" spans="1:30" ht="15" thickBot="1" x14ac:dyDescent="0.4">
      <c r="A158" s="1" t="s">
        <v>30</v>
      </c>
      <c r="B158" s="2">
        <v>2017</v>
      </c>
      <c r="C158" s="1" t="s">
        <v>38</v>
      </c>
      <c r="D158" s="2">
        <v>133.1</v>
      </c>
      <c r="E158" s="2">
        <v>140.30000000000001</v>
      </c>
      <c r="F158" s="2">
        <v>126.8</v>
      </c>
      <c r="G158" s="2">
        <v>138.19999999999999</v>
      </c>
      <c r="H158" s="2">
        <v>120.8</v>
      </c>
      <c r="I158" s="2">
        <v>140.19999999999999</v>
      </c>
      <c r="J158" s="2">
        <v>123.8</v>
      </c>
      <c r="K158" s="2">
        <v>141.80000000000001</v>
      </c>
      <c r="L158" s="2">
        <v>118.6</v>
      </c>
      <c r="M158" s="2">
        <v>134</v>
      </c>
      <c r="N158" s="2">
        <v>130.30000000000001</v>
      </c>
      <c r="O158" s="2">
        <v>145.80000000000001</v>
      </c>
      <c r="P158" s="2">
        <v>133.80000000000001</v>
      </c>
      <c r="Q158" s="2">
        <v>145.5</v>
      </c>
      <c r="R158" s="2">
        <v>142.5</v>
      </c>
      <c r="S158" s="2">
        <v>137.30000000000001</v>
      </c>
      <c r="T158" s="2">
        <v>141.80000000000001</v>
      </c>
      <c r="U158" s="1" t="s">
        <v>32</v>
      </c>
      <c r="V158" s="2">
        <v>135</v>
      </c>
      <c r="W158" s="2">
        <v>134.9</v>
      </c>
      <c r="X158" s="2">
        <v>131.4</v>
      </c>
      <c r="Y158" s="2">
        <v>119.4</v>
      </c>
      <c r="Z158" s="2">
        <v>129.4</v>
      </c>
      <c r="AA158" s="2">
        <v>136.30000000000001</v>
      </c>
      <c r="AB158" s="2">
        <v>123.7</v>
      </c>
      <c r="AC158" s="2">
        <v>127.9</v>
      </c>
      <c r="AD158" s="2">
        <v>133.30000000000001</v>
      </c>
    </row>
    <row r="159" spans="1:30" ht="15" thickBot="1" x14ac:dyDescent="0.4">
      <c r="A159" s="1" t="s">
        <v>33</v>
      </c>
      <c r="B159" s="2">
        <v>2017</v>
      </c>
      <c r="C159" s="1" t="s">
        <v>38</v>
      </c>
      <c r="D159" s="2">
        <v>132.6</v>
      </c>
      <c r="E159" s="2">
        <v>144.1</v>
      </c>
      <c r="F159" s="2">
        <v>125.6</v>
      </c>
      <c r="G159" s="2">
        <v>136.80000000000001</v>
      </c>
      <c r="H159" s="2">
        <v>113.4</v>
      </c>
      <c r="I159" s="2">
        <v>135.19999999999999</v>
      </c>
      <c r="J159" s="2">
        <v>129.19999999999999</v>
      </c>
      <c r="K159" s="2">
        <v>131.5</v>
      </c>
      <c r="L159" s="2">
        <v>121</v>
      </c>
      <c r="M159" s="2">
        <v>139.9</v>
      </c>
      <c r="N159" s="2">
        <v>123.8</v>
      </c>
      <c r="O159" s="2">
        <v>142.9</v>
      </c>
      <c r="P159" s="2">
        <v>133.6</v>
      </c>
      <c r="Q159" s="2">
        <v>148.30000000000001</v>
      </c>
      <c r="R159" s="2">
        <v>131.5</v>
      </c>
      <c r="S159" s="2">
        <v>123.2</v>
      </c>
      <c r="T159" s="2">
        <v>130.19999999999999</v>
      </c>
      <c r="U159" s="2">
        <v>132.1</v>
      </c>
      <c r="V159" s="2">
        <v>120.1</v>
      </c>
      <c r="W159" s="2">
        <v>126.5</v>
      </c>
      <c r="X159" s="2">
        <v>123.6</v>
      </c>
      <c r="Y159" s="2">
        <v>114.3</v>
      </c>
      <c r="Z159" s="2">
        <v>122.8</v>
      </c>
      <c r="AA159" s="2">
        <v>133.80000000000001</v>
      </c>
      <c r="AB159" s="2">
        <v>122</v>
      </c>
      <c r="AC159" s="2">
        <v>122.6</v>
      </c>
      <c r="AD159" s="2">
        <v>129.30000000000001</v>
      </c>
    </row>
    <row r="160" spans="1:30" ht="26.5" thickBot="1" x14ac:dyDescent="0.4">
      <c r="A160" s="1" t="s">
        <v>34</v>
      </c>
      <c r="B160" s="2">
        <v>2017</v>
      </c>
      <c r="C160" s="1" t="s">
        <v>38</v>
      </c>
      <c r="D160" s="2">
        <v>132.9</v>
      </c>
      <c r="E160" s="2">
        <v>141.6</v>
      </c>
      <c r="F160" s="2">
        <v>126.3</v>
      </c>
      <c r="G160" s="2">
        <v>137.69999999999999</v>
      </c>
      <c r="H160" s="2">
        <v>118.1</v>
      </c>
      <c r="I160" s="2">
        <v>137.9</v>
      </c>
      <c r="J160" s="2">
        <v>125.6</v>
      </c>
      <c r="K160" s="2">
        <v>138.30000000000001</v>
      </c>
      <c r="L160" s="2">
        <v>119.4</v>
      </c>
      <c r="M160" s="2">
        <v>136</v>
      </c>
      <c r="N160" s="2">
        <v>127.6</v>
      </c>
      <c r="O160" s="2">
        <v>144.5</v>
      </c>
      <c r="P160" s="2">
        <v>133.69999999999999</v>
      </c>
      <c r="Q160" s="2">
        <v>146.19999999999999</v>
      </c>
      <c r="R160" s="2">
        <v>138.19999999999999</v>
      </c>
      <c r="S160" s="2">
        <v>131.4</v>
      </c>
      <c r="T160" s="2">
        <v>137.19999999999999</v>
      </c>
      <c r="U160" s="2">
        <v>132.1</v>
      </c>
      <c r="V160" s="2">
        <v>129.4</v>
      </c>
      <c r="W160" s="2">
        <v>130.9</v>
      </c>
      <c r="X160" s="2">
        <v>128.4</v>
      </c>
      <c r="Y160" s="2">
        <v>116.7</v>
      </c>
      <c r="Z160" s="2">
        <v>125.7</v>
      </c>
      <c r="AA160" s="2">
        <v>134.80000000000001</v>
      </c>
      <c r="AB160" s="2">
        <v>123</v>
      </c>
      <c r="AC160" s="2">
        <v>125.3</v>
      </c>
      <c r="AD160" s="2">
        <v>131.4</v>
      </c>
    </row>
    <row r="161" spans="1:30" ht="15" thickBot="1" x14ac:dyDescent="0.4">
      <c r="A161" s="1" t="s">
        <v>30</v>
      </c>
      <c r="B161" s="2">
        <v>2017</v>
      </c>
      <c r="C161" s="1" t="s">
        <v>39</v>
      </c>
      <c r="D161" s="2">
        <v>133.5</v>
      </c>
      <c r="E161" s="2">
        <v>143.69999999999999</v>
      </c>
      <c r="F161" s="2">
        <v>128</v>
      </c>
      <c r="G161" s="2">
        <v>138.6</v>
      </c>
      <c r="H161" s="2">
        <v>120.9</v>
      </c>
      <c r="I161" s="2">
        <v>140.9</v>
      </c>
      <c r="J161" s="2">
        <v>128.80000000000001</v>
      </c>
      <c r="K161" s="2">
        <v>140.19999999999999</v>
      </c>
      <c r="L161" s="2">
        <v>118.9</v>
      </c>
      <c r="M161" s="2">
        <v>133.5</v>
      </c>
      <c r="N161" s="2">
        <v>130.4</v>
      </c>
      <c r="O161" s="2">
        <v>146.5</v>
      </c>
      <c r="P161" s="2">
        <v>134.9</v>
      </c>
      <c r="Q161" s="2">
        <v>145.80000000000001</v>
      </c>
      <c r="R161" s="2">
        <v>143.1</v>
      </c>
      <c r="S161" s="2">
        <v>137.69999999999999</v>
      </c>
      <c r="T161" s="2">
        <v>142.30000000000001</v>
      </c>
      <c r="U161" s="1" t="s">
        <v>32</v>
      </c>
      <c r="V161" s="2">
        <v>134.80000000000001</v>
      </c>
      <c r="W161" s="2">
        <v>135.19999999999999</v>
      </c>
      <c r="X161" s="2">
        <v>131.30000000000001</v>
      </c>
      <c r="Y161" s="2">
        <v>119.4</v>
      </c>
      <c r="Z161" s="2">
        <v>129.80000000000001</v>
      </c>
      <c r="AA161" s="2">
        <v>136.9</v>
      </c>
      <c r="AB161" s="2">
        <v>124.1</v>
      </c>
      <c r="AC161" s="2">
        <v>128.1</v>
      </c>
      <c r="AD161" s="2">
        <v>133.9</v>
      </c>
    </row>
    <row r="162" spans="1:30" ht="15" thickBot="1" x14ac:dyDescent="0.4">
      <c r="A162" s="1" t="s">
        <v>33</v>
      </c>
      <c r="B162" s="2">
        <v>2017</v>
      </c>
      <c r="C162" s="1" t="s">
        <v>39</v>
      </c>
      <c r="D162" s="2">
        <v>132.9</v>
      </c>
      <c r="E162" s="2">
        <v>148.69999999999999</v>
      </c>
      <c r="F162" s="2">
        <v>128.30000000000001</v>
      </c>
      <c r="G162" s="2">
        <v>137.30000000000001</v>
      </c>
      <c r="H162" s="2">
        <v>113.5</v>
      </c>
      <c r="I162" s="2">
        <v>137.19999999999999</v>
      </c>
      <c r="J162" s="2">
        <v>142.19999999999999</v>
      </c>
      <c r="K162" s="2">
        <v>128.19999999999999</v>
      </c>
      <c r="L162" s="2">
        <v>120.9</v>
      </c>
      <c r="M162" s="2">
        <v>138.80000000000001</v>
      </c>
      <c r="N162" s="2">
        <v>124.2</v>
      </c>
      <c r="O162" s="2">
        <v>143.1</v>
      </c>
      <c r="P162" s="2">
        <v>135.69999999999999</v>
      </c>
      <c r="Q162" s="2">
        <v>148.6</v>
      </c>
      <c r="R162" s="2">
        <v>131.5</v>
      </c>
      <c r="S162" s="2">
        <v>123.2</v>
      </c>
      <c r="T162" s="2">
        <v>130.19999999999999</v>
      </c>
      <c r="U162" s="2">
        <v>131.4</v>
      </c>
      <c r="V162" s="2">
        <v>119</v>
      </c>
      <c r="W162" s="2">
        <v>126.8</v>
      </c>
      <c r="X162" s="2">
        <v>123.8</v>
      </c>
      <c r="Y162" s="2">
        <v>113.9</v>
      </c>
      <c r="Z162" s="2">
        <v>122.9</v>
      </c>
      <c r="AA162" s="2">
        <v>134.30000000000001</v>
      </c>
      <c r="AB162" s="2">
        <v>122.5</v>
      </c>
      <c r="AC162" s="2">
        <v>122.7</v>
      </c>
      <c r="AD162" s="2">
        <v>129.9</v>
      </c>
    </row>
    <row r="163" spans="1:30" ht="26.5" thickBot="1" x14ac:dyDescent="0.4">
      <c r="A163" s="1" t="s">
        <v>34</v>
      </c>
      <c r="B163" s="2">
        <v>2017</v>
      </c>
      <c r="C163" s="1" t="s">
        <v>39</v>
      </c>
      <c r="D163" s="2">
        <v>133.30000000000001</v>
      </c>
      <c r="E163" s="2">
        <v>145.5</v>
      </c>
      <c r="F163" s="2">
        <v>128.1</v>
      </c>
      <c r="G163" s="2">
        <v>138.1</v>
      </c>
      <c r="H163" s="2">
        <v>118.2</v>
      </c>
      <c r="I163" s="2">
        <v>139.19999999999999</v>
      </c>
      <c r="J163" s="2">
        <v>133.30000000000001</v>
      </c>
      <c r="K163" s="2">
        <v>136.19999999999999</v>
      </c>
      <c r="L163" s="2">
        <v>119.6</v>
      </c>
      <c r="M163" s="2">
        <v>135.30000000000001</v>
      </c>
      <c r="N163" s="2">
        <v>127.8</v>
      </c>
      <c r="O163" s="2">
        <v>144.9</v>
      </c>
      <c r="P163" s="2">
        <v>135.19999999999999</v>
      </c>
      <c r="Q163" s="2">
        <v>146.5</v>
      </c>
      <c r="R163" s="2">
        <v>138.5</v>
      </c>
      <c r="S163" s="2">
        <v>131.69999999999999</v>
      </c>
      <c r="T163" s="2">
        <v>137.5</v>
      </c>
      <c r="U163" s="2">
        <v>131.4</v>
      </c>
      <c r="V163" s="2">
        <v>128.80000000000001</v>
      </c>
      <c r="W163" s="2">
        <v>131.19999999999999</v>
      </c>
      <c r="X163" s="2">
        <v>128.5</v>
      </c>
      <c r="Y163" s="2">
        <v>116.5</v>
      </c>
      <c r="Z163" s="2">
        <v>125.9</v>
      </c>
      <c r="AA163" s="2">
        <v>135.4</v>
      </c>
      <c r="AB163" s="2">
        <v>123.4</v>
      </c>
      <c r="AC163" s="2">
        <v>125.5</v>
      </c>
      <c r="AD163" s="2">
        <v>132</v>
      </c>
    </row>
    <row r="164" spans="1:30" ht="15" thickBot="1" x14ac:dyDescent="0.4">
      <c r="A164" s="1" t="s">
        <v>30</v>
      </c>
      <c r="B164" s="2">
        <v>2017</v>
      </c>
      <c r="C164" s="1" t="s">
        <v>40</v>
      </c>
      <c r="D164" s="2">
        <v>134</v>
      </c>
      <c r="E164" s="2">
        <v>144.19999999999999</v>
      </c>
      <c r="F164" s="2">
        <v>129.80000000000001</v>
      </c>
      <c r="G164" s="2">
        <v>139</v>
      </c>
      <c r="H164" s="2">
        <v>120.9</v>
      </c>
      <c r="I164" s="2">
        <v>143.9</v>
      </c>
      <c r="J164" s="2">
        <v>151.5</v>
      </c>
      <c r="K164" s="2">
        <v>138.1</v>
      </c>
      <c r="L164" s="2">
        <v>120</v>
      </c>
      <c r="M164" s="2">
        <v>133.9</v>
      </c>
      <c r="N164" s="2">
        <v>131.4</v>
      </c>
      <c r="O164" s="2">
        <v>147.69999999999999</v>
      </c>
      <c r="P164" s="2">
        <v>138.5</v>
      </c>
      <c r="Q164" s="2">
        <v>147.4</v>
      </c>
      <c r="R164" s="2">
        <v>144.30000000000001</v>
      </c>
      <c r="S164" s="2">
        <v>138.1</v>
      </c>
      <c r="T164" s="2">
        <v>143.5</v>
      </c>
      <c r="U164" s="1" t="s">
        <v>32</v>
      </c>
      <c r="V164" s="2">
        <v>135.30000000000001</v>
      </c>
      <c r="W164" s="2">
        <v>136.1</v>
      </c>
      <c r="X164" s="2">
        <v>132.1</v>
      </c>
      <c r="Y164" s="2">
        <v>119.1</v>
      </c>
      <c r="Z164" s="2">
        <v>130.6</v>
      </c>
      <c r="AA164" s="2">
        <v>138.6</v>
      </c>
      <c r="AB164" s="2">
        <v>124.4</v>
      </c>
      <c r="AC164" s="2">
        <v>128.6</v>
      </c>
      <c r="AD164" s="2">
        <v>136.19999999999999</v>
      </c>
    </row>
    <row r="165" spans="1:30" ht="15" thickBot="1" x14ac:dyDescent="0.4">
      <c r="A165" s="1" t="s">
        <v>33</v>
      </c>
      <c r="B165" s="2">
        <v>2017</v>
      </c>
      <c r="C165" s="1" t="s">
        <v>40</v>
      </c>
      <c r="D165" s="2">
        <v>132.80000000000001</v>
      </c>
      <c r="E165" s="2">
        <v>148.4</v>
      </c>
      <c r="F165" s="2">
        <v>129.4</v>
      </c>
      <c r="G165" s="2">
        <v>137.69999999999999</v>
      </c>
      <c r="H165" s="2">
        <v>113.4</v>
      </c>
      <c r="I165" s="2">
        <v>139.4</v>
      </c>
      <c r="J165" s="2">
        <v>175.1</v>
      </c>
      <c r="K165" s="2">
        <v>124.7</v>
      </c>
      <c r="L165" s="2">
        <v>121.5</v>
      </c>
      <c r="M165" s="2">
        <v>137.80000000000001</v>
      </c>
      <c r="N165" s="2">
        <v>124.4</v>
      </c>
      <c r="O165" s="2">
        <v>143.69999999999999</v>
      </c>
      <c r="P165" s="2">
        <v>139.80000000000001</v>
      </c>
      <c r="Q165" s="2">
        <v>150.5</v>
      </c>
      <c r="R165" s="2">
        <v>131.6</v>
      </c>
      <c r="S165" s="2">
        <v>123.7</v>
      </c>
      <c r="T165" s="2">
        <v>130.4</v>
      </c>
      <c r="U165" s="2">
        <v>132.6</v>
      </c>
      <c r="V165" s="2">
        <v>119.7</v>
      </c>
      <c r="W165" s="2">
        <v>127.2</v>
      </c>
      <c r="X165" s="2">
        <v>125</v>
      </c>
      <c r="Y165" s="2">
        <v>113.2</v>
      </c>
      <c r="Z165" s="2">
        <v>123.5</v>
      </c>
      <c r="AA165" s="2">
        <v>135.5</v>
      </c>
      <c r="AB165" s="2">
        <v>122.4</v>
      </c>
      <c r="AC165" s="2">
        <v>123</v>
      </c>
      <c r="AD165" s="2">
        <v>131.80000000000001</v>
      </c>
    </row>
    <row r="166" spans="1:30" ht="26.5" thickBot="1" x14ac:dyDescent="0.4">
      <c r="A166" s="1" t="s">
        <v>34</v>
      </c>
      <c r="B166" s="2">
        <v>2017</v>
      </c>
      <c r="C166" s="1" t="s">
        <v>40</v>
      </c>
      <c r="D166" s="2">
        <v>133.6</v>
      </c>
      <c r="E166" s="2">
        <v>145.69999999999999</v>
      </c>
      <c r="F166" s="2">
        <v>129.6</v>
      </c>
      <c r="G166" s="2">
        <v>138.5</v>
      </c>
      <c r="H166" s="2">
        <v>118.1</v>
      </c>
      <c r="I166" s="2">
        <v>141.80000000000001</v>
      </c>
      <c r="J166" s="2">
        <v>159.5</v>
      </c>
      <c r="K166" s="2">
        <v>133.6</v>
      </c>
      <c r="L166" s="2">
        <v>120.5</v>
      </c>
      <c r="M166" s="2">
        <v>135.19999999999999</v>
      </c>
      <c r="N166" s="2">
        <v>128.5</v>
      </c>
      <c r="O166" s="2">
        <v>145.80000000000001</v>
      </c>
      <c r="P166" s="2">
        <v>139</v>
      </c>
      <c r="Q166" s="2">
        <v>148.19999999999999</v>
      </c>
      <c r="R166" s="2">
        <v>139.30000000000001</v>
      </c>
      <c r="S166" s="2">
        <v>132.1</v>
      </c>
      <c r="T166" s="2">
        <v>138.30000000000001</v>
      </c>
      <c r="U166" s="2">
        <v>132.6</v>
      </c>
      <c r="V166" s="2">
        <v>129.4</v>
      </c>
      <c r="W166" s="2">
        <v>131.9</v>
      </c>
      <c r="X166" s="2">
        <v>129.4</v>
      </c>
      <c r="Y166" s="2">
        <v>116</v>
      </c>
      <c r="Z166" s="2">
        <v>126.6</v>
      </c>
      <c r="AA166" s="2">
        <v>136.80000000000001</v>
      </c>
      <c r="AB166" s="2">
        <v>123.6</v>
      </c>
      <c r="AC166" s="2">
        <v>125.9</v>
      </c>
      <c r="AD166" s="2">
        <v>134.19999999999999</v>
      </c>
    </row>
    <row r="167" spans="1:30" ht="15" thickBot="1" x14ac:dyDescent="0.4">
      <c r="A167" s="1" t="s">
        <v>30</v>
      </c>
      <c r="B167" s="2">
        <v>2017</v>
      </c>
      <c r="C167" s="1" t="s">
        <v>41</v>
      </c>
      <c r="D167" s="2">
        <v>134.80000000000001</v>
      </c>
      <c r="E167" s="2">
        <v>143.1</v>
      </c>
      <c r="F167" s="2">
        <v>130</v>
      </c>
      <c r="G167" s="2">
        <v>139.4</v>
      </c>
      <c r="H167" s="2">
        <v>120.5</v>
      </c>
      <c r="I167" s="2">
        <v>148</v>
      </c>
      <c r="J167" s="2">
        <v>162.9</v>
      </c>
      <c r="K167" s="2">
        <v>137.4</v>
      </c>
      <c r="L167" s="2">
        <v>120.8</v>
      </c>
      <c r="M167" s="2">
        <v>134.69999999999999</v>
      </c>
      <c r="N167" s="2">
        <v>131.6</v>
      </c>
      <c r="O167" s="2">
        <v>148.69999999999999</v>
      </c>
      <c r="P167" s="2">
        <v>140.6</v>
      </c>
      <c r="Q167" s="2">
        <v>149</v>
      </c>
      <c r="R167" s="2">
        <v>145.30000000000001</v>
      </c>
      <c r="S167" s="2">
        <v>139.19999999999999</v>
      </c>
      <c r="T167" s="2">
        <v>144.5</v>
      </c>
      <c r="U167" s="1" t="s">
        <v>32</v>
      </c>
      <c r="V167" s="2">
        <v>136.4</v>
      </c>
      <c r="W167" s="2">
        <v>137.30000000000001</v>
      </c>
      <c r="X167" s="2">
        <v>133</v>
      </c>
      <c r="Y167" s="2">
        <v>120.3</v>
      </c>
      <c r="Z167" s="2">
        <v>131.5</v>
      </c>
      <c r="AA167" s="2">
        <v>140.19999999999999</v>
      </c>
      <c r="AB167" s="2">
        <v>125.4</v>
      </c>
      <c r="AC167" s="2">
        <v>129.69999999999999</v>
      </c>
      <c r="AD167" s="2">
        <v>137.80000000000001</v>
      </c>
    </row>
    <row r="168" spans="1:30" ht="15" thickBot="1" x14ac:dyDescent="0.4">
      <c r="A168" s="1" t="s">
        <v>33</v>
      </c>
      <c r="B168" s="2">
        <v>2017</v>
      </c>
      <c r="C168" s="1" t="s">
        <v>41</v>
      </c>
      <c r="D168" s="2">
        <v>133.19999999999999</v>
      </c>
      <c r="E168" s="2">
        <v>143.9</v>
      </c>
      <c r="F168" s="2">
        <v>128.30000000000001</v>
      </c>
      <c r="G168" s="2">
        <v>138.30000000000001</v>
      </c>
      <c r="H168" s="2">
        <v>114.1</v>
      </c>
      <c r="I168" s="2">
        <v>142.69999999999999</v>
      </c>
      <c r="J168" s="2">
        <v>179.8</v>
      </c>
      <c r="K168" s="2">
        <v>123.5</v>
      </c>
      <c r="L168" s="2">
        <v>122.1</v>
      </c>
      <c r="M168" s="2">
        <v>137.5</v>
      </c>
      <c r="N168" s="2">
        <v>124.6</v>
      </c>
      <c r="O168" s="2">
        <v>144.5</v>
      </c>
      <c r="P168" s="2">
        <v>140.5</v>
      </c>
      <c r="Q168" s="2">
        <v>152.1</v>
      </c>
      <c r="R168" s="2">
        <v>132.69999999999999</v>
      </c>
      <c r="S168" s="2">
        <v>124.3</v>
      </c>
      <c r="T168" s="2">
        <v>131.4</v>
      </c>
      <c r="U168" s="2">
        <v>134.4</v>
      </c>
      <c r="V168" s="2">
        <v>118.9</v>
      </c>
      <c r="W168" s="2">
        <v>127.7</v>
      </c>
      <c r="X168" s="2">
        <v>125.7</v>
      </c>
      <c r="Y168" s="2">
        <v>114.6</v>
      </c>
      <c r="Z168" s="2">
        <v>124.1</v>
      </c>
      <c r="AA168" s="2">
        <v>135.69999999999999</v>
      </c>
      <c r="AB168" s="2">
        <v>123.3</v>
      </c>
      <c r="AC168" s="2">
        <v>123.8</v>
      </c>
      <c r="AD168" s="2">
        <v>132.69999999999999</v>
      </c>
    </row>
    <row r="169" spans="1:30" ht="26.5" thickBot="1" x14ac:dyDescent="0.4">
      <c r="A169" s="1" t="s">
        <v>34</v>
      </c>
      <c r="B169" s="2">
        <v>2017</v>
      </c>
      <c r="C169" s="1" t="s">
        <v>41</v>
      </c>
      <c r="D169" s="2">
        <v>134.30000000000001</v>
      </c>
      <c r="E169" s="2">
        <v>143.4</v>
      </c>
      <c r="F169" s="2">
        <v>129.30000000000001</v>
      </c>
      <c r="G169" s="2">
        <v>139</v>
      </c>
      <c r="H169" s="2">
        <v>118.1</v>
      </c>
      <c r="I169" s="2">
        <v>145.5</v>
      </c>
      <c r="J169" s="2">
        <v>168.6</v>
      </c>
      <c r="K169" s="2">
        <v>132.69999999999999</v>
      </c>
      <c r="L169" s="2">
        <v>121.2</v>
      </c>
      <c r="M169" s="2">
        <v>135.6</v>
      </c>
      <c r="N169" s="2">
        <v>128.69999999999999</v>
      </c>
      <c r="O169" s="2">
        <v>146.80000000000001</v>
      </c>
      <c r="P169" s="2">
        <v>140.6</v>
      </c>
      <c r="Q169" s="2">
        <v>149.80000000000001</v>
      </c>
      <c r="R169" s="2">
        <v>140.30000000000001</v>
      </c>
      <c r="S169" s="2">
        <v>133</v>
      </c>
      <c r="T169" s="2">
        <v>139.30000000000001</v>
      </c>
      <c r="U169" s="2">
        <v>134.4</v>
      </c>
      <c r="V169" s="2">
        <v>129.80000000000001</v>
      </c>
      <c r="W169" s="2">
        <v>132.80000000000001</v>
      </c>
      <c r="X169" s="2">
        <v>130.19999999999999</v>
      </c>
      <c r="Y169" s="2">
        <v>117.3</v>
      </c>
      <c r="Z169" s="2">
        <v>127.3</v>
      </c>
      <c r="AA169" s="2">
        <v>137.6</v>
      </c>
      <c r="AB169" s="2">
        <v>124.5</v>
      </c>
      <c r="AC169" s="2">
        <v>126.8</v>
      </c>
      <c r="AD169" s="2">
        <v>135.4</v>
      </c>
    </row>
    <row r="170" spans="1:30" ht="26.5" thickBot="1" x14ac:dyDescent="0.4">
      <c r="A170" s="1" t="s">
        <v>30</v>
      </c>
      <c r="B170" s="2">
        <v>2017</v>
      </c>
      <c r="C170" s="1" t="s">
        <v>42</v>
      </c>
      <c r="D170" s="2">
        <v>135.19999999999999</v>
      </c>
      <c r="E170" s="2">
        <v>142</v>
      </c>
      <c r="F170" s="2">
        <v>130.5</v>
      </c>
      <c r="G170" s="2">
        <v>140.19999999999999</v>
      </c>
      <c r="H170" s="2">
        <v>120.7</v>
      </c>
      <c r="I170" s="2">
        <v>147.80000000000001</v>
      </c>
      <c r="J170" s="2">
        <v>154.5</v>
      </c>
      <c r="K170" s="2">
        <v>137.1</v>
      </c>
      <c r="L170" s="2">
        <v>121</v>
      </c>
      <c r="M170" s="2">
        <v>134.69999999999999</v>
      </c>
      <c r="N170" s="2">
        <v>131.69999999999999</v>
      </c>
      <c r="O170" s="2">
        <v>149.30000000000001</v>
      </c>
      <c r="P170" s="2">
        <v>139.6</v>
      </c>
      <c r="Q170" s="2">
        <v>149.80000000000001</v>
      </c>
      <c r="R170" s="2">
        <v>146.1</v>
      </c>
      <c r="S170" s="2">
        <v>139.69999999999999</v>
      </c>
      <c r="T170" s="2">
        <v>145.19999999999999</v>
      </c>
      <c r="U170" s="1" t="s">
        <v>32</v>
      </c>
      <c r="V170" s="2">
        <v>137.4</v>
      </c>
      <c r="W170" s="2">
        <v>137.9</v>
      </c>
      <c r="X170" s="2">
        <v>133.4</v>
      </c>
      <c r="Y170" s="2">
        <v>121.2</v>
      </c>
      <c r="Z170" s="2">
        <v>132.30000000000001</v>
      </c>
      <c r="AA170" s="2">
        <v>139.6</v>
      </c>
      <c r="AB170" s="2">
        <v>126.7</v>
      </c>
      <c r="AC170" s="2">
        <v>130.30000000000001</v>
      </c>
      <c r="AD170" s="2">
        <v>137.6</v>
      </c>
    </row>
    <row r="171" spans="1:30" ht="26.5" thickBot="1" x14ac:dyDescent="0.4">
      <c r="A171" s="1" t="s">
        <v>33</v>
      </c>
      <c r="B171" s="2">
        <v>2017</v>
      </c>
      <c r="C171" s="1" t="s">
        <v>42</v>
      </c>
      <c r="D171" s="2">
        <v>133.6</v>
      </c>
      <c r="E171" s="2">
        <v>143</v>
      </c>
      <c r="F171" s="2">
        <v>129.69999999999999</v>
      </c>
      <c r="G171" s="2">
        <v>138.69999999999999</v>
      </c>
      <c r="H171" s="2">
        <v>114.5</v>
      </c>
      <c r="I171" s="2">
        <v>137.5</v>
      </c>
      <c r="J171" s="2">
        <v>160.69999999999999</v>
      </c>
      <c r="K171" s="2">
        <v>124.5</v>
      </c>
      <c r="L171" s="2">
        <v>122.4</v>
      </c>
      <c r="M171" s="2">
        <v>137.30000000000001</v>
      </c>
      <c r="N171" s="2">
        <v>124.8</v>
      </c>
      <c r="O171" s="2">
        <v>145</v>
      </c>
      <c r="P171" s="2">
        <v>138</v>
      </c>
      <c r="Q171" s="2">
        <v>153.6</v>
      </c>
      <c r="R171" s="2">
        <v>133.30000000000001</v>
      </c>
      <c r="S171" s="2">
        <v>124.6</v>
      </c>
      <c r="T171" s="2">
        <v>132</v>
      </c>
      <c r="U171" s="2">
        <v>135.69999999999999</v>
      </c>
      <c r="V171" s="2">
        <v>120.6</v>
      </c>
      <c r="W171" s="2">
        <v>128.1</v>
      </c>
      <c r="X171" s="2">
        <v>126.1</v>
      </c>
      <c r="Y171" s="2">
        <v>115.7</v>
      </c>
      <c r="Z171" s="2">
        <v>124.5</v>
      </c>
      <c r="AA171" s="2">
        <v>135.9</v>
      </c>
      <c r="AB171" s="2">
        <v>124.4</v>
      </c>
      <c r="AC171" s="2">
        <v>124.5</v>
      </c>
      <c r="AD171" s="2">
        <v>132.4</v>
      </c>
    </row>
    <row r="172" spans="1:30" ht="26.5" thickBot="1" x14ac:dyDescent="0.4">
      <c r="A172" s="1" t="s">
        <v>34</v>
      </c>
      <c r="B172" s="2">
        <v>2017</v>
      </c>
      <c r="C172" s="1" t="s">
        <v>42</v>
      </c>
      <c r="D172" s="2">
        <v>134.69999999999999</v>
      </c>
      <c r="E172" s="2">
        <v>142.4</v>
      </c>
      <c r="F172" s="2">
        <v>130.19999999999999</v>
      </c>
      <c r="G172" s="2">
        <v>139.6</v>
      </c>
      <c r="H172" s="2">
        <v>118.4</v>
      </c>
      <c r="I172" s="2">
        <v>143</v>
      </c>
      <c r="J172" s="2">
        <v>156.6</v>
      </c>
      <c r="K172" s="2">
        <v>132.9</v>
      </c>
      <c r="L172" s="2">
        <v>121.5</v>
      </c>
      <c r="M172" s="2">
        <v>135.6</v>
      </c>
      <c r="N172" s="2">
        <v>128.80000000000001</v>
      </c>
      <c r="O172" s="2">
        <v>147.30000000000001</v>
      </c>
      <c r="P172" s="2">
        <v>139</v>
      </c>
      <c r="Q172" s="2">
        <v>150.80000000000001</v>
      </c>
      <c r="R172" s="2">
        <v>141.1</v>
      </c>
      <c r="S172" s="2">
        <v>133.4</v>
      </c>
      <c r="T172" s="2">
        <v>140</v>
      </c>
      <c r="U172" s="2">
        <v>135.69999999999999</v>
      </c>
      <c r="V172" s="2">
        <v>131</v>
      </c>
      <c r="W172" s="2">
        <v>133.30000000000001</v>
      </c>
      <c r="X172" s="2">
        <v>130.6</v>
      </c>
      <c r="Y172" s="2">
        <v>118.3</v>
      </c>
      <c r="Z172" s="2">
        <v>127.9</v>
      </c>
      <c r="AA172" s="2">
        <v>137.4</v>
      </c>
      <c r="AB172" s="2">
        <v>125.7</v>
      </c>
      <c r="AC172" s="2">
        <v>127.5</v>
      </c>
      <c r="AD172" s="2">
        <v>135.19999999999999</v>
      </c>
    </row>
    <row r="173" spans="1:30" ht="15" thickBot="1" x14ac:dyDescent="0.4">
      <c r="A173" s="1" t="s">
        <v>30</v>
      </c>
      <c r="B173" s="2">
        <v>2017</v>
      </c>
      <c r="C173" s="1" t="s">
        <v>43</v>
      </c>
      <c r="D173" s="2">
        <v>135.9</v>
      </c>
      <c r="E173" s="2">
        <v>141.9</v>
      </c>
      <c r="F173" s="2">
        <v>131</v>
      </c>
      <c r="G173" s="2">
        <v>141.5</v>
      </c>
      <c r="H173" s="2">
        <v>121.4</v>
      </c>
      <c r="I173" s="2">
        <v>146.69999999999999</v>
      </c>
      <c r="J173" s="2">
        <v>157.1</v>
      </c>
      <c r="K173" s="2">
        <v>136.4</v>
      </c>
      <c r="L173" s="2">
        <v>121.4</v>
      </c>
      <c r="M173" s="2">
        <v>135.6</v>
      </c>
      <c r="N173" s="2">
        <v>131.30000000000001</v>
      </c>
      <c r="O173" s="2">
        <v>150.30000000000001</v>
      </c>
      <c r="P173" s="2">
        <v>140.4</v>
      </c>
      <c r="Q173" s="2">
        <v>150.5</v>
      </c>
      <c r="R173" s="2">
        <v>147.19999999999999</v>
      </c>
      <c r="S173" s="2">
        <v>140.6</v>
      </c>
      <c r="T173" s="2">
        <v>146.19999999999999</v>
      </c>
      <c r="U173" s="1" t="s">
        <v>32</v>
      </c>
      <c r="V173" s="2">
        <v>138.1</v>
      </c>
      <c r="W173" s="2">
        <v>138.4</v>
      </c>
      <c r="X173" s="2">
        <v>134.19999999999999</v>
      </c>
      <c r="Y173" s="2">
        <v>121</v>
      </c>
      <c r="Z173" s="2">
        <v>133</v>
      </c>
      <c r="AA173" s="2">
        <v>140.1</v>
      </c>
      <c r="AB173" s="2">
        <v>127.4</v>
      </c>
      <c r="AC173" s="2">
        <v>130.69999999999999</v>
      </c>
      <c r="AD173" s="2">
        <v>138.30000000000001</v>
      </c>
    </row>
    <row r="174" spans="1:30" ht="15" thickBot="1" x14ac:dyDescent="0.4">
      <c r="A174" s="1" t="s">
        <v>33</v>
      </c>
      <c r="B174" s="2">
        <v>2017</v>
      </c>
      <c r="C174" s="1" t="s">
        <v>43</v>
      </c>
      <c r="D174" s="2">
        <v>133.9</v>
      </c>
      <c r="E174" s="2">
        <v>142.80000000000001</v>
      </c>
      <c r="F174" s="2">
        <v>131.4</v>
      </c>
      <c r="G174" s="2">
        <v>139.1</v>
      </c>
      <c r="H174" s="2">
        <v>114.9</v>
      </c>
      <c r="I174" s="2">
        <v>135.6</v>
      </c>
      <c r="J174" s="2">
        <v>173.2</v>
      </c>
      <c r="K174" s="2">
        <v>124.1</v>
      </c>
      <c r="L174" s="2">
        <v>122.6</v>
      </c>
      <c r="M174" s="2">
        <v>137.80000000000001</v>
      </c>
      <c r="N174" s="2">
        <v>125.1</v>
      </c>
      <c r="O174" s="2">
        <v>145.5</v>
      </c>
      <c r="P174" s="2">
        <v>139.69999999999999</v>
      </c>
      <c r="Q174" s="2">
        <v>154.6</v>
      </c>
      <c r="R174" s="2">
        <v>134</v>
      </c>
      <c r="S174" s="2">
        <v>124.9</v>
      </c>
      <c r="T174" s="2">
        <v>132.6</v>
      </c>
      <c r="U174" s="2">
        <v>137.30000000000001</v>
      </c>
      <c r="V174" s="2">
        <v>122.6</v>
      </c>
      <c r="W174" s="2">
        <v>128.30000000000001</v>
      </c>
      <c r="X174" s="2">
        <v>126.6</v>
      </c>
      <c r="Y174" s="2">
        <v>115</v>
      </c>
      <c r="Z174" s="2">
        <v>124.8</v>
      </c>
      <c r="AA174" s="2">
        <v>136.30000000000001</v>
      </c>
      <c r="AB174" s="2">
        <v>124.6</v>
      </c>
      <c r="AC174" s="2">
        <v>124.5</v>
      </c>
      <c r="AD174" s="2">
        <v>133.5</v>
      </c>
    </row>
    <row r="175" spans="1:30" ht="26.5" thickBot="1" x14ac:dyDescent="0.4">
      <c r="A175" s="1" t="s">
        <v>34</v>
      </c>
      <c r="B175" s="2">
        <v>2017</v>
      </c>
      <c r="C175" s="1" t="s">
        <v>43</v>
      </c>
      <c r="D175" s="2">
        <v>135.30000000000001</v>
      </c>
      <c r="E175" s="2">
        <v>142.19999999999999</v>
      </c>
      <c r="F175" s="2">
        <v>131.19999999999999</v>
      </c>
      <c r="G175" s="2">
        <v>140.6</v>
      </c>
      <c r="H175" s="2">
        <v>119</v>
      </c>
      <c r="I175" s="2">
        <v>141.5</v>
      </c>
      <c r="J175" s="2">
        <v>162.6</v>
      </c>
      <c r="K175" s="2">
        <v>132.30000000000001</v>
      </c>
      <c r="L175" s="2">
        <v>121.8</v>
      </c>
      <c r="M175" s="2">
        <v>136.30000000000001</v>
      </c>
      <c r="N175" s="2">
        <v>128.69999999999999</v>
      </c>
      <c r="O175" s="2">
        <v>148.1</v>
      </c>
      <c r="P175" s="2">
        <v>140.1</v>
      </c>
      <c r="Q175" s="2">
        <v>151.6</v>
      </c>
      <c r="R175" s="2">
        <v>142</v>
      </c>
      <c r="S175" s="2">
        <v>134.1</v>
      </c>
      <c r="T175" s="2">
        <v>140.80000000000001</v>
      </c>
      <c r="U175" s="2">
        <v>137.30000000000001</v>
      </c>
      <c r="V175" s="2">
        <v>132.19999999999999</v>
      </c>
      <c r="W175" s="2">
        <v>133.6</v>
      </c>
      <c r="X175" s="2">
        <v>131.30000000000001</v>
      </c>
      <c r="Y175" s="2">
        <v>117.8</v>
      </c>
      <c r="Z175" s="2">
        <v>128.4</v>
      </c>
      <c r="AA175" s="2">
        <v>137.9</v>
      </c>
      <c r="AB175" s="2">
        <v>126.2</v>
      </c>
      <c r="AC175" s="2">
        <v>127.7</v>
      </c>
      <c r="AD175" s="2">
        <v>136.1</v>
      </c>
    </row>
    <row r="176" spans="1:30" ht="26.5" thickBot="1" x14ac:dyDescent="0.4">
      <c r="A176" s="1" t="s">
        <v>30</v>
      </c>
      <c r="B176" s="2">
        <v>2017</v>
      </c>
      <c r="C176" s="1" t="s">
        <v>44</v>
      </c>
      <c r="D176" s="2">
        <v>136.30000000000001</v>
      </c>
      <c r="E176" s="2">
        <v>142.5</v>
      </c>
      <c r="F176" s="2">
        <v>140.5</v>
      </c>
      <c r="G176" s="2">
        <v>141.5</v>
      </c>
      <c r="H176" s="2">
        <v>121.6</v>
      </c>
      <c r="I176" s="2">
        <v>147.30000000000001</v>
      </c>
      <c r="J176" s="2">
        <v>168</v>
      </c>
      <c r="K176" s="2">
        <v>135.80000000000001</v>
      </c>
      <c r="L176" s="2">
        <v>122.5</v>
      </c>
      <c r="M176" s="2">
        <v>136</v>
      </c>
      <c r="N176" s="2">
        <v>131.9</v>
      </c>
      <c r="O176" s="2">
        <v>151.4</v>
      </c>
      <c r="P176" s="2">
        <v>142.4</v>
      </c>
      <c r="Q176" s="2">
        <v>152.1</v>
      </c>
      <c r="R176" s="2">
        <v>148.19999999999999</v>
      </c>
      <c r="S176" s="2">
        <v>141.5</v>
      </c>
      <c r="T176" s="2">
        <v>147.30000000000001</v>
      </c>
      <c r="U176" s="1" t="s">
        <v>32</v>
      </c>
      <c r="V176" s="2">
        <v>141.1</v>
      </c>
      <c r="W176" s="2">
        <v>139.4</v>
      </c>
      <c r="X176" s="2">
        <v>135.80000000000001</v>
      </c>
      <c r="Y176" s="2">
        <v>121.6</v>
      </c>
      <c r="Z176" s="2">
        <v>133.69999999999999</v>
      </c>
      <c r="AA176" s="2">
        <v>141.5</v>
      </c>
      <c r="AB176" s="2">
        <v>128.1</v>
      </c>
      <c r="AC176" s="2">
        <v>131.69999999999999</v>
      </c>
      <c r="AD176" s="2">
        <v>140</v>
      </c>
    </row>
    <row r="177" spans="1:30" ht="26.5" thickBot="1" x14ac:dyDescent="0.4">
      <c r="A177" s="1" t="s">
        <v>33</v>
      </c>
      <c r="B177" s="2">
        <v>2017</v>
      </c>
      <c r="C177" s="1" t="s">
        <v>44</v>
      </c>
      <c r="D177" s="2">
        <v>134.30000000000001</v>
      </c>
      <c r="E177" s="2">
        <v>142.1</v>
      </c>
      <c r="F177" s="2">
        <v>146.69999999999999</v>
      </c>
      <c r="G177" s="2">
        <v>139.5</v>
      </c>
      <c r="H177" s="2">
        <v>115.2</v>
      </c>
      <c r="I177" s="2">
        <v>136.4</v>
      </c>
      <c r="J177" s="2">
        <v>185.2</v>
      </c>
      <c r="K177" s="2">
        <v>122.2</v>
      </c>
      <c r="L177" s="2">
        <v>123.9</v>
      </c>
      <c r="M177" s="2">
        <v>138.30000000000001</v>
      </c>
      <c r="N177" s="2">
        <v>125.4</v>
      </c>
      <c r="O177" s="2">
        <v>146</v>
      </c>
      <c r="P177" s="2">
        <v>141.5</v>
      </c>
      <c r="Q177" s="2">
        <v>156.19999999999999</v>
      </c>
      <c r="R177" s="2">
        <v>135</v>
      </c>
      <c r="S177" s="2">
        <v>125.4</v>
      </c>
      <c r="T177" s="2">
        <v>133.5</v>
      </c>
      <c r="U177" s="2">
        <v>138.6</v>
      </c>
      <c r="V177" s="2">
        <v>125.7</v>
      </c>
      <c r="W177" s="2">
        <v>128.80000000000001</v>
      </c>
      <c r="X177" s="2">
        <v>127.4</v>
      </c>
      <c r="Y177" s="2">
        <v>115.3</v>
      </c>
      <c r="Z177" s="2">
        <v>125.1</v>
      </c>
      <c r="AA177" s="2">
        <v>136.6</v>
      </c>
      <c r="AB177" s="2">
        <v>124.9</v>
      </c>
      <c r="AC177" s="2">
        <v>124.9</v>
      </c>
      <c r="AD177" s="2">
        <v>134.80000000000001</v>
      </c>
    </row>
    <row r="178" spans="1:30" ht="26.5" thickBot="1" x14ac:dyDescent="0.4">
      <c r="A178" s="1" t="s">
        <v>34</v>
      </c>
      <c r="B178" s="2">
        <v>2017</v>
      </c>
      <c r="C178" s="1" t="s">
        <v>44</v>
      </c>
      <c r="D178" s="2">
        <v>135.69999999999999</v>
      </c>
      <c r="E178" s="2">
        <v>142.4</v>
      </c>
      <c r="F178" s="2">
        <v>142.9</v>
      </c>
      <c r="G178" s="2">
        <v>140.80000000000001</v>
      </c>
      <c r="H178" s="2">
        <v>119.2</v>
      </c>
      <c r="I178" s="2">
        <v>142.19999999999999</v>
      </c>
      <c r="J178" s="2">
        <v>173.8</v>
      </c>
      <c r="K178" s="2">
        <v>131.19999999999999</v>
      </c>
      <c r="L178" s="2">
        <v>123</v>
      </c>
      <c r="M178" s="2">
        <v>136.80000000000001</v>
      </c>
      <c r="N178" s="2">
        <v>129.19999999999999</v>
      </c>
      <c r="O178" s="2">
        <v>148.9</v>
      </c>
      <c r="P178" s="2">
        <v>142.1</v>
      </c>
      <c r="Q178" s="2">
        <v>153.19999999999999</v>
      </c>
      <c r="R178" s="2">
        <v>143</v>
      </c>
      <c r="S178" s="2">
        <v>134.80000000000001</v>
      </c>
      <c r="T178" s="2">
        <v>141.80000000000001</v>
      </c>
      <c r="U178" s="2">
        <v>138.6</v>
      </c>
      <c r="V178" s="2">
        <v>135.30000000000001</v>
      </c>
      <c r="W178" s="2">
        <v>134.4</v>
      </c>
      <c r="X178" s="2">
        <v>132.6</v>
      </c>
      <c r="Y178" s="2">
        <v>118.3</v>
      </c>
      <c r="Z178" s="2">
        <v>128.9</v>
      </c>
      <c r="AA178" s="2">
        <v>138.6</v>
      </c>
      <c r="AB178" s="2">
        <v>126.8</v>
      </c>
      <c r="AC178" s="2">
        <v>128.4</v>
      </c>
      <c r="AD178" s="2">
        <v>137.6</v>
      </c>
    </row>
    <row r="179" spans="1:30" ht="26.5" thickBot="1" x14ac:dyDescent="0.4">
      <c r="A179" s="1" t="s">
        <v>30</v>
      </c>
      <c r="B179" s="2">
        <v>2017</v>
      </c>
      <c r="C179" s="1" t="s">
        <v>45</v>
      </c>
      <c r="D179" s="2">
        <v>136.4</v>
      </c>
      <c r="E179" s="2">
        <v>143.69999999999999</v>
      </c>
      <c r="F179" s="2">
        <v>144.80000000000001</v>
      </c>
      <c r="G179" s="2">
        <v>141.9</v>
      </c>
      <c r="H179" s="2">
        <v>123.1</v>
      </c>
      <c r="I179" s="2">
        <v>147.19999999999999</v>
      </c>
      <c r="J179" s="2">
        <v>161</v>
      </c>
      <c r="K179" s="2">
        <v>133.80000000000001</v>
      </c>
      <c r="L179" s="2">
        <v>121.9</v>
      </c>
      <c r="M179" s="2">
        <v>135.80000000000001</v>
      </c>
      <c r="N179" s="2">
        <v>131.1</v>
      </c>
      <c r="O179" s="2">
        <v>151.4</v>
      </c>
      <c r="P179" s="2">
        <v>141.5</v>
      </c>
      <c r="Q179" s="2">
        <v>153.19999999999999</v>
      </c>
      <c r="R179" s="2">
        <v>148</v>
      </c>
      <c r="S179" s="2">
        <v>141.9</v>
      </c>
      <c r="T179" s="2">
        <v>147.19999999999999</v>
      </c>
      <c r="U179" s="1" t="s">
        <v>32</v>
      </c>
      <c r="V179" s="2">
        <v>142.6</v>
      </c>
      <c r="W179" s="2">
        <v>139.5</v>
      </c>
      <c r="X179" s="2">
        <v>136.1</v>
      </c>
      <c r="Y179" s="2">
        <v>122</v>
      </c>
      <c r="Z179" s="2">
        <v>133.4</v>
      </c>
      <c r="AA179" s="2">
        <v>141.1</v>
      </c>
      <c r="AB179" s="2">
        <v>127.8</v>
      </c>
      <c r="AC179" s="2">
        <v>131.9</v>
      </c>
      <c r="AD179" s="2">
        <v>139.80000000000001</v>
      </c>
    </row>
    <row r="180" spans="1:30" ht="26.5" thickBot="1" x14ac:dyDescent="0.4">
      <c r="A180" s="1" t="s">
        <v>33</v>
      </c>
      <c r="B180" s="2">
        <v>2017</v>
      </c>
      <c r="C180" s="1" t="s">
        <v>45</v>
      </c>
      <c r="D180" s="2">
        <v>134.4</v>
      </c>
      <c r="E180" s="2">
        <v>142.6</v>
      </c>
      <c r="F180" s="2">
        <v>145.9</v>
      </c>
      <c r="G180" s="2">
        <v>139.5</v>
      </c>
      <c r="H180" s="2">
        <v>115.9</v>
      </c>
      <c r="I180" s="2">
        <v>135</v>
      </c>
      <c r="J180" s="2">
        <v>163.19999999999999</v>
      </c>
      <c r="K180" s="2">
        <v>119.8</v>
      </c>
      <c r="L180" s="2">
        <v>120.7</v>
      </c>
      <c r="M180" s="2">
        <v>139.69999999999999</v>
      </c>
      <c r="N180" s="2">
        <v>125.7</v>
      </c>
      <c r="O180" s="2">
        <v>146.30000000000001</v>
      </c>
      <c r="P180" s="2">
        <v>138.80000000000001</v>
      </c>
      <c r="Q180" s="2">
        <v>157</v>
      </c>
      <c r="R180" s="2">
        <v>135.6</v>
      </c>
      <c r="S180" s="2">
        <v>125.6</v>
      </c>
      <c r="T180" s="2">
        <v>134</v>
      </c>
      <c r="U180" s="2">
        <v>139.1</v>
      </c>
      <c r="V180" s="2">
        <v>126.8</v>
      </c>
      <c r="W180" s="2">
        <v>129.30000000000001</v>
      </c>
      <c r="X180" s="2">
        <v>128.19999999999999</v>
      </c>
      <c r="Y180" s="2">
        <v>115.3</v>
      </c>
      <c r="Z180" s="2">
        <v>125.6</v>
      </c>
      <c r="AA180" s="2">
        <v>136.69999999999999</v>
      </c>
      <c r="AB180" s="2">
        <v>124.6</v>
      </c>
      <c r="AC180" s="2">
        <v>125.1</v>
      </c>
      <c r="AD180" s="2">
        <v>134.1</v>
      </c>
    </row>
    <row r="181" spans="1:30" ht="26.5" thickBot="1" x14ac:dyDescent="0.4">
      <c r="A181" s="1" t="s">
        <v>34</v>
      </c>
      <c r="B181" s="2">
        <v>2017</v>
      </c>
      <c r="C181" s="1" t="s">
        <v>45</v>
      </c>
      <c r="D181" s="2">
        <v>135.80000000000001</v>
      </c>
      <c r="E181" s="2">
        <v>143.30000000000001</v>
      </c>
      <c r="F181" s="2">
        <v>145.19999999999999</v>
      </c>
      <c r="G181" s="2">
        <v>141</v>
      </c>
      <c r="H181" s="2">
        <v>120.5</v>
      </c>
      <c r="I181" s="2">
        <v>141.5</v>
      </c>
      <c r="J181" s="2">
        <v>161.69999999999999</v>
      </c>
      <c r="K181" s="2">
        <v>129.1</v>
      </c>
      <c r="L181" s="2">
        <v>121.5</v>
      </c>
      <c r="M181" s="2">
        <v>137.1</v>
      </c>
      <c r="N181" s="2">
        <v>128.80000000000001</v>
      </c>
      <c r="O181" s="2">
        <v>149</v>
      </c>
      <c r="P181" s="2">
        <v>140.5</v>
      </c>
      <c r="Q181" s="2">
        <v>154.19999999999999</v>
      </c>
      <c r="R181" s="2">
        <v>143.1</v>
      </c>
      <c r="S181" s="2">
        <v>135.1</v>
      </c>
      <c r="T181" s="2">
        <v>142</v>
      </c>
      <c r="U181" s="2">
        <v>139.1</v>
      </c>
      <c r="V181" s="2">
        <v>136.6</v>
      </c>
      <c r="W181" s="2">
        <v>134.69999999999999</v>
      </c>
      <c r="X181" s="2">
        <v>133.1</v>
      </c>
      <c r="Y181" s="2">
        <v>118.5</v>
      </c>
      <c r="Z181" s="2">
        <v>129</v>
      </c>
      <c r="AA181" s="2">
        <v>138.5</v>
      </c>
      <c r="AB181" s="2">
        <v>126.5</v>
      </c>
      <c r="AC181" s="2">
        <v>128.6</v>
      </c>
      <c r="AD181" s="2">
        <v>137.19999999999999</v>
      </c>
    </row>
    <row r="182" spans="1:30" ht="15" thickBot="1" x14ac:dyDescent="0.4">
      <c r="A182" s="1" t="s">
        <v>30</v>
      </c>
      <c r="B182" s="2">
        <v>2018</v>
      </c>
      <c r="C182" s="1" t="s">
        <v>31</v>
      </c>
      <c r="D182" s="2">
        <v>136.6</v>
      </c>
      <c r="E182" s="2">
        <v>144.4</v>
      </c>
      <c r="F182" s="2">
        <v>143.80000000000001</v>
      </c>
      <c r="G182" s="2">
        <v>142</v>
      </c>
      <c r="H182" s="2">
        <v>123.2</v>
      </c>
      <c r="I182" s="2">
        <v>147.9</v>
      </c>
      <c r="J182" s="2">
        <v>152.1</v>
      </c>
      <c r="K182" s="2">
        <v>131.80000000000001</v>
      </c>
      <c r="L182" s="2">
        <v>119.5</v>
      </c>
      <c r="M182" s="2">
        <v>136</v>
      </c>
      <c r="N182" s="2">
        <v>131.19999999999999</v>
      </c>
      <c r="O182" s="2">
        <v>151.80000000000001</v>
      </c>
      <c r="P182" s="2">
        <v>140.4</v>
      </c>
      <c r="Q182" s="2">
        <v>153.6</v>
      </c>
      <c r="R182" s="2">
        <v>148.30000000000001</v>
      </c>
      <c r="S182" s="2">
        <v>142.30000000000001</v>
      </c>
      <c r="T182" s="2">
        <v>147.5</v>
      </c>
      <c r="U182" s="1" t="s">
        <v>32</v>
      </c>
      <c r="V182" s="2">
        <v>142.30000000000001</v>
      </c>
      <c r="W182" s="2">
        <v>139.80000000000001</v>
      </c>
      <c r="X182" s="2">
        <v>136</v>
      </c>
      <c r="Y182" s="2">
        <v>122.7</v>
      </c>
      <c r="Z182" s="2">
        <v>134.30000000000001</v>
      </c>
      <c r="AA182" s="2">
        <v>141.6</v>
      </c>
      <c r="AB182" s="2">
        <v>128.6</v>
      </c>
      <c r="AC182" s="2">
        <v>132.30000000000001</v>
      </c>
      <c r="AD182" s="2">
        <v>139.30000000000001</v>
      </c>
    </row>
    <row r="183" spans="1:30" ht="15" thickBot="1" x14ac:dyDescent="0.4">
      <c r="A183" s="1" t="s">
        <v>33</v>
      </c>
      <c r="B183" s="2">
        <v>2018</v>
      </c>
      <c r="C183" s="1" t="s">
        <v>31</v>
      </c>
      <c r="D183" s="2">
        <v>134.6</v>
      </c>
      <c r="E183" s="2">
        <v>143.69999999999999</v>
      </c>
      <c r="F183" s="2">
        <v>143.6</v>
      </c>
      <c r="G183" s="2">
        <v>139.6</v>
      </c>
      <c r="H183" s="2">
        <v>116.4</v>
      </c>
      <c r="I183" s="2">
        <v>133.80000000000001</v>
      </c>
      <c r="J183" s="2">
        <v>150.5</v>
      </c>
      <c r="K183" s="2">
        <v>118.4</v>
      </c>
      <c r="L183" s="2">
        <v>117.3</v>
      </c>
      <c r="M183" s="2">
        <v>140.5</v>
      </c>
      <c r="N183" s="2">
        <v>125.9</v>
      </c>
      <c r="O183" s="2">
        <v>146.80000000000001</v>
      </c>
      <c r="P183" s="2">
        <v>137.19999999999999</v>
      </c>
      <c r="Q183" s="2">
        <v>157.69999999999999</v>
      </c>
      <c r="R183" s="2">
        <v>136</v>
      </c>
      <c r="S183" s="2">
        <v>125.9</v>
      </c>
      <c r="T183" s="2">
        <v>134.4</v>
      </c>
      <c r="U183" s="2">
        <v>140.4</v>
      </c>
      <c r="V183" s="2">
        <v>127.3</v>
      </c>
      <c r="W183" s="2">
        <v>129.5</v>
      </c>
      <c r="X183" s="2">
        <v>129</v>
      </c>
      <c r="Y183" s="2">
        <v>116.3</v>
      </c>
      <c r="Z183" s="2">
        <v>126.2</v>
      </c>
      <c r="AA183" s="2">
        <v>137.1</v>
      </c>
      <c r="AB183" s="2">
        <v>125.5</v>
      </c>
      <c r="AC183" s="2">
        <v>125.8</v>
      </c>
      <c r="AD183" s="2">
        <v>134.1</v>
      </c>
    </row>
    <row r="184" spans="1:30" ht="26.5" thickBot="1" x14ac:dyDescent="0.4">
      <c r="A184" s="1" t="s">
        <v>34</v>
      </c>
      <c r="B184" s="2">
        <v>2018</v>
      </c>
      <c r="C184" s="1" t="s">
        <v>31</v>
      </c>
      <c r="D184" s="2">
        <v>136</v>
      </c>
      <c r="E184" s="2">
        <v>144.19999999999999</v>
      </c>
      <c r="F184" s="2">
        <v>143.69999999999999</v>
      </c>
      <c r="G184" s="2">
        <v>141.1</v>
      </c>
      <c r="H184" s="2">
        <v>120.7</v>
      </c>
      <c r="I184" s="2">
        <v>141.30000000000001</v>
      </c>
      <c r="J184" s="2">
        <v>151.6</v>
      </c>
      <c r="K184" s="2">
        <v>127.3</v>
      </c>
      <c r="L184" s="2">
        <v>118.8</v>
      </c>
      <c r="M184" s="2">
        <v>137.5</v>
      </c>
      <c r="N184" s="2">
        <v>129</v>
      </c>
      <c r="O184" s="2">
        <v>149.5</v>
      </c>
      <c r="P184" s="2">
        <v>139.19999999999999</v>
      </c>
      <c r="Q184" s="2">
        <v>154.69999999999999</v>
      </c>
      <c r="R184" s="2">
        <v>143.5</v>
      </c>
      <c r="S184" s="2">
        <v>135.5</v>
      </c>
      <c r="T184" s="2">
        <v>142.30000000000001</v>
      </c>
      <c r="U184" s="2">
        <v>140.4</v>
      </c>
      <c r="V184" s="2">
        <v>136.6</v>
      </c>
      <c r="W184" s="2">
        <v>134.9</v>
      </c>
      <c r="X184" s="2">
        <v>133.30000000000001</v>
      </c>
      <c r="Y184" s="2">
        <v>119.3</v>
      </c>
      <c r="Z184" s="2">
        <v>129.69999999999999</v>
      </c>
      <c r="AA184" s="2">
        <v>139</v>
      </c>
      <c r="AB184" s="2">
        <v>127.3</v>
      </c>
      <c r="AC184" s="2">
        <v>129.1</v>
      </c>
      <c r="AD184" s="2">
        <v>136.9</v>
      </c>
    </row>
    <row r="185" spans="1:30" ht="15" thickBot="1" x14ac:dyDescent="0.4">
      <c r="A185" s="1" t="s">
        <v>30</v>
      </c>
      <c r="B185" s="2">
        <v>2018</v>
      </c>
      <c r="C185" s="1" t="s">
        <v>35</v>
      </c>
      <c r="D185" s="2">
        <v>136.4</v>
      </c>
      <c r="E185" s="2">
        <v>143.69999999999999</v>
      </c>
      <c r="F185" s="2">
        <v>140.6</v>
      </c>
      <c r="G185" s="2">
        <v>141.5</v>
      </c>
      <c r="H185" s="2">
        <v>122.9</v>
      </c>
      <c r="I185" s="2">
        <v>149.4</v>
      </c>
      <c r="J185" s="2">
        <v>142.4</v>
      </c>
      <c r="K185" s="2">
        <v>130.19999999999999</v>
      </c>
      <c r="L185" s="2">
        <v>117.9</v>
      </c>
      <c r="M185" s="2">
        <v>135.6</v>
      </c>
      <c r="N185" s="2">
        <v>130.5</v>
      </c>
      <c r="O185" s="2">
        <v>151.69999999999999</v>
      </c>
      <c r="P185" s="2">
        <v>138.69999999999999</v>
      </c>
      <c r="Q185" s="2">
        <v>153.30000000000001</v>
      </c>
      <c r="R185" s="2">
        <v>148.69999999999999</v>
      </c>
      <c r="S185" s="2">
        <v>142.4</v>
      </c>
      <c r="T185" s="2">
        <v>147.80000000000001</v>
      </c>
      <c r="U185" s="1" t="s">
        <v>32</v>
      </c>
      <c r="V185" s="2">
        <v>142.4</v>
      </c>
      <c r="W185" s="2">
        <v>139.9</v>
      </c>
      <c r="X185" s="2">
        <v>136.19999999999999</v>
      </c>
      <c r="Y185" s="2">
        <v>123.3</v>
      </c>
      <c r="Z185" s="2">
        <v>134.30000000000001</v>
      </c>
      <c r="AA185" s="2">
        <v>141.5</v>
      </c>
      <c r="AB185" s="2">
        <v>128.80000000000001</v>
      </c>
      <c r="AC185" s="2">
        <v>132.5</v>
      </c>
      <c r="AD185" s="2">
        <v>138.5</v>
      </c>
    </row>
    <row r="186" spans="1:30" ht="15" thickBot="1" x14ac:dyDescent="0.4">
      <c r="A186" s="1" t="s">
        <v>33</v>
      </c>
      <c r="B186" s="2">
        <v>2018</v>
      </c>
      <c r="C186" s="1" t="s">
        <v>35</v>
      </c>
      <c r="D186" s="2">
        <v>134.80000000000001</v>
      </c>
      <c r="E186" s="2">
        <v>143</v>
      </c>
      <c r="F186" s="2">
        <v>139.9</v>
      </c>
      <c r="G186" s="2">
        <v>139.9</v>
      </c>
      <c r="H186" s="2">
        <v>116.2</v>
      </c>
      <c r="I186" s="2">
        <v>135.5</v>
      </c>
      <c r="J186" s="2">
        <v>136.9</v>
      </c>
      <c r="K186" s="2">
        <v>117</v>
      </c>
      <c r="L186" s="2">
        <v>115.4</v>
      </c>
      <c r="M186" s="2">
        <v>140.69999999999999</v>
      </c>
      <c r="N186" s="2">
        <v>125.9</v>
      </c>
      <c r="O186" s="2">
        <v>147.1</v>
      </c>
      <c r="P186" s="2">
        <v>135.6</v>
      </c>
      <c r="Q186" s="2">
        <v>159.30000000000001</v>
      </c>
      <c r="R186" s="2">
        <v>136.30000000000001</v>
      </c>
      <c r="S186" s="2">
        <v>126.1</v>
      </c>
      <c r="T186" s="2">
        <v>134.69999999999999</v>
      </c>
      <c r="U186" s="2">
        <v>141.30000000000001</v>
      </c>
      <c r="V186" s="2">
        <v>127.3</v>
      </c>
      <c r="W186" s="2">
        <v>129.9</v>
      </c>
      <c r="X186" s="2">
        <v>129.80000000000001</v>
      </c>
      <c r="Y186" s="2">
        <v>117.4</v>
      </c>
      <c r="Z186" s="2">
        <v>126.5</v>
      </c>
      <c r="AA186" s="2">
        <v>137.19999999999999</v>
      </c>
      <c r="AB186" s="2">
        <v>126.2</v>
      </c>
      <c r="AC186" s="2">
        <v>126.5</v>
      </c>
      <c r="AD186" s="2">
        <v>134</v>
      </c>
    </row>
    <row r="187" spans="1:30" ht="26.5" thickBot="1" x14ac:dyDescent="0.4">
      <c r="A187" s="1" t="s">
        <v>34</v>
      </c>
      <c r="B187" s="2">
        <v>2018</v>
      </c>
      <c r="C187" s="1" t="s">
        <v>35</v>
      </c>
      <c r="D187" s="2">
        <v>135.9</v>
      </c>
      <c r="E187" s="2">
        <v>143.5</v>
      </c>
      <c r="F187" s="2">
        <v>140.30000000000001</v>
      </c>
      <c r="G187" s="2">
        <v>140.9</v>
      </c>
      <c r="H187" s="2">
        <v>120.4</v>
      </c>
      <c r="I187" s="2">
        <v>142.9</v>
      </c>
      <c r="J187" s="2">
        <v>140.5</v>
      </c>
      <c r="K187" s="2">
        <v>125.8</v>
      </c>
      <c r="L187" s="2">
        <v>117.1</v>
      </c>
      <c r="M187" s="2">
        <v>137.30000000000001</v>
      </c>
      <c r="N187" s="2">
        <v>128.6</v>
      </c>
      <c r="O187" s="2">
        <v>149.6</v>
      </c>
      <c r="P187" s="2">
        <v>137.6</v>
      </c>
      <c r="Q187" s="2">
        <v>154.9</v>
      </c>
      <c r="R187" s="2">
        <v>143.80000000000001</v>
      </c>
      <c r="S187" s="2">
        <v>135.6</v>
      </c>
      <c r="T187" s="2">
        <v>142.6</v>
      </c>
      <c r="U187" s="2">
        <v>141.30000000000001</v>
      </c>
      <c r="V187" s="2">
        <v>136.69999999999999</v>
      </c>
      <c r="W187" s="2">
        <v>135.19999999999999</v>
      </c>
      <c r="X187" s="2">
        <v>133.80000000000001</v>
      </c>
      <c r="Y187" s="2">
        <v>120.2</v>
      </c>
      <c r="Z187" s="2">
        <v>129.9</v>
      </c>
      <c r="AA187" s="2">
        <v>139</v>
      </c>
      <c r="AB187" s="2">
        <v>127.7</v>
      </c>
      <c r="AC187" s="2">
        <v>129.6</v>
      </c>
      <c r="AD187" s="2">
        <v>136.4</v>
      </c>
    </row>
    <row r="188" spans="1:30" ht="15" thickBot="1" x14ac:dyDescent="0.4">
      <c r="A188" s="1" t="s">
        <v>30</v>
      </c>
      <c r="B188" s="2">
        <v>2018</v>
      </c>
      <c r="C188" s="1" t="s">
        <v>36</v>
      </c>
      <c r="D188" s="2">
        <v>136.80000000000001</v>
      </c>
      <c r="E188" s="2">
        <v>143.80000000000001</v>
      </c>
      <c r="F188" s="2">
        <v>140</v>
      </c>
      <c r="G188" s="2">
        <v>142</v>
      </c>
      <c r="H188" s="2">
        <v>123.2</v>
      </c>
      <c r="I188" s="2">
        <v>152.9</v>
      </c>
      <c r="J188" s="2">
        <v>138</v>
      </c>
      <c r="K188" s="2">
        <v>129.30000000000001</v>
      </c>
      <c r="L188" s="2">
        <v>117.1</v>
      </c>
      <c r="M188" s="2">
        <v>136.30000000000001</v>
      </c>
      <c r="N188" s="2">
        <v>131.19999999999999</v>
      </c>
      <c r="O188" s="2">
        <v>152.80000000000001</v>
      </c>
      <c r="P188" s="2">
        <v>138.6</v>
      </c>
      <c r="Q188" s="2">
        <v>155.1</v>
      </c>
      <c r="R188" s="2">
        <v>149.19999999999999</v>
      </c>
      <c r="S188" s="2">
        <v>143</v>
      </c>
      <c r="T188" s="2">
        <v>148.30000000000001</v>
      </c>
      <c r="U188" s="1" t="s">
        <v>32</v>
      </c>
      <c r="V188" s="2">
        <v>142.6</v>
      </c>
      <c r="W188" s="2">
        <v>139.9</v>
      </c>
      <c r="X188" s="2">
        <v>136.69999999999999</v>
      </c>
      <c r="Y188" s="2">
        <v>124.6</v>
      </c>
      <c r="Z188" s="2">
        <v>135.1</v>
      </c>
      <c r="AA188" s="2">
        <v>142.69999999999999</v>
      </c>
      <c r="AB188" s="2">
        <v>129.30000000000001</v>
      </c>
      <c r="AC188" s="2">
        <v>133.30000000000001</v>
      </c>
      <c r="AD188" s="2">
        <v>138.69999999999999</v>
      </c>
    </row>
    <row r="189" spans="1:30" ht="15" thickBot="1" x14ac:dyDescent="0.4">
      <c r="A189" s="1" t="s">
        <v>33</v>
      </c>
      <c r="B189" s="2">
        <v>2018</v>
      </c>
      <c r="C189" s="1" t="s">
        <v>36</v>
      </c>
      <c r="D189" s="2">
        <v>135</v>
      </c>
      <c r="E189" s="2">
        <v>143.1</v>
      </c>
      <c r="F189" s="2">
        <v>135.5</v>
      </c>
      <c r="G189" s="2">
        <v>139.9</v>
      </c>
      <c r="H189" s="2">
        <v>116.5</v>
      </c>
      <c r="I189" s="2">
        <v>138.5</v>
      </c>
      <c r="J189" s="2">
        <v>128</v>
      </c>
      <c r="K189" s="2">
        <v>115.5</v>
      </c>
      <c r="L189" s="2">
        <v>114.2</v>
      </c>
      <c r="M189" s="2">
        <v>140.69999999999999</v>
      </c>
      <c r="N189" s="2">
        <v>126.2</v>
      </c>
      <c r="O189" s="2">
        <v>147.6</v>
      </c>
      <c r="P189" s="2">
        <v>134.80000000000001</v>
      </c>
      <c r="Q189" s="2">
        <v>159.69999999999999</v>
      </c>
      <c r="R189" s="2">
        <v>136.69999999999999</v>
      </c>
      <c r="S189" s="2">
        <v>126.7</v>
      </c>
      <c r="T189" s="2">
        <v>135.19999999999999</v>
      </c>
      <c r="U189" s="2">
        <v>142</v>
      </c>
      <c r="V189" s="2">
        <v>126.4</v>
      </c>
      <c r="W189" s="2">
        <v>130.80000000000001</v>
      </c>
      <c r="X189" s="2">
        <v>130.5</v>
      </c>
      <c r="Y189" s="2">
        <v>117.8</v>
      </c>
      <c r="Z189" s="2">
        <v>126.8</v>
      </c>
      <c r="AA189" s="2">
        <v>137.80000000000001</v>
      </c>
      <c r="AB189" s="2">
        <v>126.7</v>
      </c>
      <c r="AC189" s="2">
        <v>127.1</v>
      </c>
      <c r="AD189" s="2">
        <v>134</v>
      </c>
    </row>
    <row r="190" spans="1:30" ht="26.5" thickBot="1" x14ac:dyDescent="0.4">
      <c r="A190" s="1" t="s">
        <v>34</v>
      </c>
      <c r="B190" s="2">
        <v>2018</v>
      </c>
      <c r="C190" s="1" t="s">
        <v>36</v>
      </c>
      <c r="D190" s="2">
        <v>136.19999999999999</v>
      </c>
      <c r="E190" s="2">
        <v>143.6</v>
      </c>
      <c r="F190" s="2">
        <v>138.30000000000001</v>
      </c>
      <c r="G190" s="2">
        <v>141.19999999999999</v>
      </c>
      <c r="H190" s="2">
        <v>120.7</v>
      </c>
      <c r="I190" s="2">
        <v>146.19999999999999</v>
      </c>
      <c r="J190" s="2">
        <v>134.6</v>
      </c>
      <c r="K190" s="2">
        <v>124.6</v>
      </c>
      <c r="L190" s="2">
        <v>116.1</v>
      </c>
      <c r="M190" s="2">
        <v>137.80000000000001</v>
      </c>
      <c r="N190" s="2">
        <v>129.1</v>
      </c>
      <c r="O190" s="2">
        <v>150.4</v>
      </c>
      <c r="P190" s="2">
        <v>137.19999999999999</v>
      </c>
      <c r="Q190" s="2">
        <v>156.30000000000001</v>
      </c>
      <c r="R190" s="2">
        <v>144.30000000000001</v>
      </c>
      <c r="S190" s="2">
        <v>136.19999999999999</v>
      </c>
      <c r="T190" s="2">
        <v>143.1</v>
      </c>
      <c r="U190" s="2">
        <v>142</v>
      </c>
      <c r="V190" s="2">
        <v>136.5</v>
      </c>
      <c r="W190" s="2">
        <v>135.6</v>
      </c>
      <c r="X190" s="2">
        <v>134.30000000000001</v>
      </c>
      <c r="Y190" s="2">
        <v>121</v>
      </c>
      <c r="Z190" s="2">
        <v>130.4</v>
      </c>
      <c r="AA190" s="2">
        <v>139.80000000000001</v>
      </c>
      <c r="AB190" s="2">
        <v>128.19999999999999</v>
      </c>
      <c r="AC190" s="2">
        <v>130.30000000000001</v>
      </c>
      <c r="AD190" s="2">
        <v>136.5</v>
      </c>
    </row>
    <row r="191" spans="1:30" ht="15" thickBot="1" x14ac:dyDescent="0.4">
      <c r="A191" s="1" t="s">
        <v>30</v>
      </c>
      <c r="B191" s="2">
        <v>2018</v>
      </c>
      <c r="C191" s="1" t="s">
        <v>37</v>
      </c>
      <c r="D191" s="2">
        <v>137.1</v>
      </c>
      <c r="E191" s="2">
        <v>144.5</v>
      </c>
      <c r="F191" s="2">
        <v>135.9</v>
      </c>
      <c r="G191" s="2">
        <v>142.4</v>
      </c>
      <c r="H191" s="2">
        <v>123.5</v>
      </c>
      <c r="I191" s="2">
        <v>156.4</v>
      </c>
      <c r="J191" s="2">
        <v>135.1</v>
      </c>
      <c r="K191" s="2">
        <v>128.4</v>
      </c>
      <c r="L191" s="2">
        <v>115.2</v>
      </c>
      <c r="M191" s="2">
        <v>137.19999999999999</v>
      </c>
      <c r="N191" s="2">
        <v>131.9</v>
      </c>
      <c r="O191" s="2">
        <v>153.80000000000001</v>
      </c>
      <c r="P191" s="2">
        <v>138.6</v>
      </c>
      <c r="Q191" s="2">
        <v>156.1</v>
      </c>
      <c r="R191" s="2">
        <v>150.1</v>
      </c>
      <c r="S191" s="2">
        <v>143.30000000000001</v>
      </c>
      <c r="T191" s="2">
        <v>149.1</v>
      </c>
      <c r="U191" s="1" t="s">
        <v>32</v>
      </c>
      <c r="V191" s="2">
        <v>143.80000000000001</v>
      </c>
      <c r="W191" s="2">
        <v>140.9</v>
      </c>
      <c r="X191" s="2">
        <v>137.6</v>
      </c>
      <c r="Y191" s="2">
        <v>125.3</v>
      </c>
      <c r="Z191" s="2">
        <v>136</v>
      </c>
      <c r="AA191" s="2">
        <v>143.69999999999999</v>
      </c>
      <c r="AB191" s="2">
        <v>130.4</v>
      </c>
      <c r="AC191" s="2">
        <v>134.19999999999999</v>
      </c>
      <c r="AD191" s="2">
        <v>139.1</v>
      </c>
    </row>
    <row r="192" spans="1:30" ht="15" thickBot="1" x14ac:dyDescent="0.4">
      <c r="A192" s="1" t="s">
        <v>33</v>
      </c>
      <c r="B192" s="2">
        <v>2018</v>
      </c>
      <c r="C192" s="1" t="s">
        <v>37</v>
      </c>
      <c r="D192" s="2">
        <v>135</v>
      </c>
      <c r="E192" s="2">
        <v>144.30000000000001</v>
      </c>
      <c r="F192" s="2">
        <v>130.80000000000001</v>
      </c>
      <c r="G192" s="2">
        <v>140.30000000000001</v>
      </c>
      <c r="H192" s="2">
        <v>116.6</v>
      </c>
      <c r="I192" s="2">
        <v>150.1</v>
      </c>
      <c r="J192" s="2">
        <v>127.6</v>
      </c>
      <c r="K192" s="2">
        <v>114</v>
      </c>
      <c r="L192" s="2">
        <v>110.6</v>
      </c>
      <c r="M192" s="2">
        <v>140.19999999999999</v>
      </c>
      <c r="N192" s="2">
        <v>126.5</v>
      </c>
      <c r="O192" s="2">
        <v>148.30000000000001</v>
      </c>
      <c r="P192" s="2">
        <v>135.69999999999999</v>
      </c>
      <c r="Q192" s="2">
        <v>159.19999999999999</v>
      </c>
      <c r="R192" s="2">
        <v>137.80000000000001</v>
      </c>
      <c r="S192" s="2">
        <v>127.4</v>
      </c>
      <c r="T192" s="2">
        <v>136.19999999999999</v>
      </c>
      <c r="U192" s="2">
        <v>142.9</v>
      </c>
      <c r="V192" s="2">
        <v>124.6</v>
      </c>
      <c r="W192" s="2">
        <v>131.80000000000001</v>
      </c>
      <c r="X192" s="2">
        <v>131.30000000000001</v>
      </c>
      <c r="Y192" s="2">
        <v>118.9</v>
      </c>
      <c r="Z192" s="2">
        <v>127.6</v>
      </c>
      <c r="AA192" s="2">
        <v>139.69999999999999</v>
      </c>
      <c r="AB192" s="2">
        <v>127.6</v>
      </c>
      <c r="AC192" s="2">
        <v>128.19999999999999</v>
      </c>
      <c r="AD192" s="2">
        <v>134.80000000000001</v>
      </c>
    </row>
    <row r="193" spans="1:30" ht="26.5" thickBot="1" x14ac:dyDescent="0.4">
      <c r="A193" s="1" t="s">
        <v>34</v>
      </c>
      <c r="B193" s="2">
        <v>2018</v>
      </c>
      <c r="C193" s="1" t="s">
        <v>37</v>
      </c>
      <c r="D193" s="2">
        <v>136.4</v>
      </c>
      <c r="E193" s="2">
        <v>144.4</v>
      </c>
      <c r="F193" s="2">
        <v>133.9</v>
      </c>
      <c r="G193" s="2">
        <v>141.6</v>
      </c>
      <c r="H193" s="2">
        <v>121</v>
      </c>
      <c r="I193" s="2">
        <v>153.5</v>
      </c>
      <c r="J193" s="2">
        <v>132.6</v>
      </c>
      <c r="K193" s="2">
        <v>123.5</v>
      </c>
      <c r="L193" s="2">
        <v>113.7</v>
      </c>
      <c r="M193" s="2">
        <v>138.19999999999999</v>
      </c>
      <c r="N193" s="2">
        <v>129.6</v>
      </c>
      <c r="O193" s="2">
        <v>151.19999999999999</v>
      </c>
      <c r="P193" s="2">
        <v>137.5</v>
      </c>
      <c r="Q193" s="2">
        <v>156.9</v>
      </c>
      <c r="R193" s="2">
        <v>145.30000000000001</v>
      </c>
      <c r="S193" s="2">
        <v>136.69999999999999</v>
      </c>
      <c r="T193" s="2">
        <v>144</v>
      </c>
      <c r="U193" s="2">
        <v>142.9</v>
      </c>
      <c r="V193" s="2">
        <v>136.5</v>
      </c>
      <c r="W193" s="2">
        <v>136.6</v>
      </c>
      <c r="X193" s="2">
        <v>135.19999999999999</v>
      </c>
      <c r="Y193" s="2">
        <v>121.9</v>
      </c>
      <c r="Z193" s="2">
        <v>131.30000000000001</v>
      </c>
      <c r="AA193" s="2">
        <v>141.4</v>
      </c>
      <c r="AB193" s="2">
        <v>129.19999999999999</v>
      </c>
      <c r="AC193" s="2">
        <v>131.30000000000001</v>
      </c>
      <c r="AD193" s="2">
        <v>137.1</v>
      </c>
    </row>
    <row r="194" spans="1:30" ht="15" thickBot="1" x14ac:dyDescent="0.4">
      <c r="A194" s="1" t="s">
        <v>30</v>
      </c>
      <c r="B194" s="2">
        <v>2018</v>
      </c>
      <c r="C194" s="1" t="s">
        <v>38</v>
      </c>
      <c r="D194" s="2">
        <v>137.4</v>
      </c>
      <c r="E194" s="2">
        <v>145.69999999999999</v>
      </c>
      <c r="F194" s="2">
        <v>135.5</v>
      </c>
      <c r="G194" s="2">
        <v>142.9</v>
      </c>
      <c r="H194" s="2">
        <v>123.6</v>
      </c>
      <c r="I194" s="2">
        <v>157.5</v>
      </c>
      <c r="J194" s="2">
        <v>137.80000000000001</v>
      </c>
      <c r="K194" s="2">
        <v>127.2</v>
      </c>
      <c r="L194" s="2">
        <v>111.8</v>
      </c>
      <c r="M194" s="2">
        <v>137.4</v>
      </c>
      <c r="N194" s="2">
        <v>132.19999999999999</v>
      </c>
      <c r="O194" s="2">
        <v>154.30000000000001</v>
      </c>
      <c r="P194" s="2">
        <v>139.1</v>
      </c>
      <c r="Q194" s="2">
        <v>157</v>
      </c>
      <c r="R194" s="2">
        <v>150.80000000000001</v>
      </c>
      <c r="S194" s="2">
        <v>144.1</v>
      </c>
      <c r="T194" s="2">
        <v>149.80000000000001</v>
      </c>
      <c r="U194" s="1" t="s">
        <v>32</v>
      </c>
      <c r="V194" s="2">
        <v>144.30000000000001</v>
      </c>
      <c r="W194" s="2">
        <v>141.80000000000001</v>
      </c>
      <c r="X194" s="2">
        <v>138.4</v>
      </c>
      <c r="Y194" s="2">
        <v>126.4</v>
      </c>
      <c r="Z194" s="2">
        <v>136.80000000000001</v>
      </c>
      <c r="AA194" s="2">
        <v>144.4</v>
      </c>
      <c r="AB194" s="2">
        <v>131.19999999999999</v>
      </c>
      <c r="AC194" s="2">
        <v>135.1</v>
      </c>
      <c r="AD194" s="2">
        <v>139.80000000000001</v>
      </c>
    </row>
    <row r="195" spans="1:30" ht="15" thickBot="1" x14ac:dyDescent="0.4">
      <c r="A195" s="1" t="s">
        <v>33</v>
      </c>
      <c r="B195" s="2">
        <v>2018</v>
      </c>
      <c r="C195" s="1" t="s">
        <v>38</v>
      </c>
      <c r="D195" s="2">
        <v>135</v>
      </c>
      <c r="E195" s="2">
        <v>148.19999999999999</v>
      </c>
      <c r="F195" s="2">
        <v>130.5</v>
      </c>
      <c r="G195" s="2">
        <v>140.69999999999999</v>
      </c>
      <c r="H195" s="2">
        <v>116.4</v>
      </c>
      <c r="I195" s="2">
        <v>151.30000000000001</v>
      </c>
      <c r="J195" s="2">
        <v>131.4</v>
      </c>
      <c r="K195" s="2">
        <v>112.8</v>
      </c>
      <c r="L195" s="2">
        <v>105.3</v>
      </c>
      <c r="M195" s="2">
        <v>139.6</v>
      </c>
      <c r="N195" s="2">
        <v>126.6</v>
      </c>
      <c r="O195" s="2">
        <v>148.69999999999999</v>
      </c>
      <c r="P195" s="2">
        <v>136.4</v>
      </c>
      <c r="Q195" s="2">
        <v>160.30000000000001</v>
      </c>
      <c r="R195" s="2">
        <v>138.6</v>
      </c>
      <c r="S195" s="2">
        <v>127.9</v>
      </c>
      <c r="T195" s="2">
        <v>137</v>
      </c>
      <c r="U195" s="2">
        <v>143.19999999999999</v>
      </c>
      <c r="V195" s="2">
        <v>124.7</v>
      </c>
      <c r="W195" s="2">
        <v>132.5</v>
      </c>
      <c r="X195" s="2">
        <v>132</v>
      </c>
      <c r="Y195" s="2">
        <v>119.8</v>
      </c>
      <c r="Z195" s="2">
        <v>128</v>
      </c>
      <c r="AA195" s="2">
        <v>140.4</v>
      </c>
      <c r="AB195" s="2">
        <v>128.1</v>
      </c>
      <c r="AC195" s="2">
        <v>128.9</v>
      </c>
      <c r="AD195" s="2">
        <v>135.4</v>
      </c>
    </row>
    <row r="196" spans="1:30" ht="26.5" thickBot="1" x14ac:dyDescent="0.4">
      <c r="A196" s="1" t="s">
        <v>34</v>
      </c>
      <c r="B196" s="2">
        <v>2018</v>
      </c>
      <c r="C196" s="1" t="s">
        <v>38</v>
      </c>
      <c r="D196" s="2">
        <v>136.6</v>
      </c>
      <c r="E196" s="2">
        <v>146.6</v>
      </c>
      <c r="F196" s="2">
        <v>133.6</v>
      </c>
      <c r="G196" s="2">
        <v>142.1</v>
      </c>
      <c r="H196" s="2">
        <v>121</v>
      </c>
      <c r="I196" s="2">
        <v>154.6</v>
      </c>
      <c r="J196" s="2">
        <v>135.6</v>
      </c>
      <c r="K196" s="2">
        <v>122.3</v>
      </c>
      <c r="L196" s="2">
        <v>109.6</v>
      </c>
      <c r="M196" s="2">
        <v>138.1</v>
      </c>
      <c r="N196" s="2">
        <v>129.9</v>
      </c>
      <c r="O196" s="2">
        <v>151.69999999999999</v>
      </c>
      <c r="P196" s="2">
        <v>138.1</v>
      </c>
      <c r="Q196" s="2">
        <v>157.9</v>
      </c>
      <c r="R196" s="2">
        <v>146</v>
      </c>
      <c r="S196" s="2">
        <v>137.4</v>
      </c>
      <c r="T196" s="2">
        <v>144.69999999999999</v>
      </c>
      <c r="U196" s="2">
        <v>143.19999999999999</v>
      </c>
      <c r="V196" s="2">
        <v>136.9</v>
      </c>
      <c r="W196" s="2">
        <v>137.4</v>
      </c>
      <c r="X196" s="2">
        <v>136</v>
      </c>
      <c r="Y196" s="2">
        <v>122.9</v>
      </c>
      <c r="Z196" s="2">
        <v>131.80000000000001</v>
      </c>
      <c r="AA196" s="2">
        <v>142.1</v>
      </c>
      <c r="AB196" s="2">
        <v>129.9</v>
      </c>
      <c r="AC196" s="2">
        <v>132.1</v>
      </c>
      <c r="AD196" s="2">
        <v>137.80000000000001</v>
      </c>
    </row>
    <row r="197" spans="1:30" ht="15" thickBot="1" x14ac:dyDescent="0.4">
      <c r="A197" s="1" t="s">
        <v>30</v>
      </c>
      <c r="B197" s="2">
        <v>2018</v>
      </c>
      <c r="C197" s="1" t="s">
        <v>39</v>
      </c>
      <c r="D197" s="2">
        <v>137.6</v>
      </c>
      <c r="E197" s="2">
        <v>148.1</v>
      </c>
      <c r="F197" s="2">
        <v>136.69999999999999</v>
      </c>
      <c r="G197" s="2">
        <v>143.19999999999999</v>
      </c>
      <c r="H197" s="2">
        <v>124</v>
      </c>
      <c r="I197" s="2">
        <v>154.1</v>
      </c>
      <c r="J197" s="2">
        <v>143.5</v>
      </c>
      <c r="K197" s="2">
        <v>126</v>
      </c>
      <c r="L197" s="2">
        <v>112.4</v>
      </c>
      <c r="M197" s="2">
        <v>137.6</v>
      </c>
      <c r="N197" s="2">
        <v>132.80000000000001</v>
      </c>
      <c r="O197" s="2">
        <v>154.30000000000001</v>
      </c>
      <c r="P197" s="2">
        <v>140</v>
      </c>
      <c r="Q197" s="2">
        <v>157.30000000000001</v>
      </c>
      <c r="R197" s="2">
        <v>151.30000000000001</v>
      </c>
      <c r="S197" s="2">
        <v>144.69999999999999</v>
      </c>
      <c r="T197" s="2">
        <v>150.30000000000001</v>
      </c>
      <c r="U197" s="1" t="s">
        <v>32</v>
      </c>
      <c r="V197" s="2">
        <v>145.1</v>
      </c>
      <c r="W197" s="2">
        <v>142.19999999999999</v>
      </c>
      <c r="X197" s="2">
        <v>138.4</v>
      </c>
      <c r="Y197" s="2">
        <v>127.4</v>
      </c>
      <c r="Z197" s="2">
        <v>137.80000000000001</v>
      </c>
      <c r="AA197" s="2">
        <v>145.1</v>
      </c>
      <c r="AB197" s="2">
        <v>131.4</v>
      </c>
      <c r="AC197" s="2">
        <v>135.6</v>
      </c>
      <c r="AD197" s="2">
        <v>140.5</v>
      </c>
    </row>
    <row r="198" spans="1:30" ht="15" thickBot="1" x14ac:dyDescent="0.4">
      <c r="A198" s="1" t="s">
        <v>33</v>
      </c>
      <c r="B198" s="2">
        <v>2018</v>
      </c>
      <c r="C198" s="1" t="s">
        <v>39</v>
      </c>
      <c r="D198" s="2">
        <v>135.30000000000001</v>
      </c>
      <c r="E198" s="2">
        <v>149.69999999999999</v>
      </c>
      <c r="F198" s="2">
        <v>133.9</v>
      </c>
      <c r="G198" s="2">
        <v>140.80000000000001</v>
      </c>
      <c r="H198" s="2">
        <v>116.6</v>
      </c>
      <c r="I198" s="2">
        <v>152.19999999999999</v>
      </c>
      <c r="J198" s="2">
        <v>144</v>
      </c>
      <c r="K198" s="2">
        <v>112.3</v>
      </c>
      <c r="L198" s="2">
        <v>108.4</v>
      </c>
      <c r="M198" s="2">
        <v>140</v>
      </c>
      <c r="N198" s="2">
        <v>126.7</v>
      </c>
      <c r="O198" s="2">
        <v>149</v>
      </c>
      <c r="P198" s="2">
        <v>138.4</v>
      </c>
      <c r="Q198" s="2">
        <v>161</v>
      </c>
      <c r="R198" s="2">
        <v>138.9</v>
      </c>
      <c r="S198" s="2">
        <v>128.69999999999999</v>
      </c>
      <c r="T198" s="2">
        <v>137.4</v>
      </c>
      <c r="U198" s="2">
        <v>142.5</v>
      </c>
      <c r="V198" s="2">
        <v>126.5</v>
      </c>
      <c r="W198" s="2">
        <v>133.1</v>
      </c>
      <c r="X198" s="2">
        <v>132.6</v>
      </c>
      <c r="Y198" s="2">
        <v>120.4</v>
      </c>
      <c r="Z198" s="2">
        <v>128.5</v>
      </c>
      <c r="AA198" s="2">
        <v>141.19999999999999</v>
      </c>
      <c r="AB198" s="2">
        <v>128.19999999999999</v>
      </c>
      <c r="AC198" s="2">
        <v>129.5</v>
      </c>
      <c r="AD198" s="2">
        <v>136.19999999999999</v>
      </c>
    </row>
    <row r="199" spans="1:30" ht="26.5" thickBot="1" x14ac:dyDescent="0.4">
      <c r="A199" s="1" t="s">
        <v>34</v>
      </c>
      <c r="B199" s="2">
        <v>2018</v>
      </c>
      <c r="C199" s="1" t="s">
        <v>39</v>
      </c>
      <c r="D199" s="2">
        <v>136.9</v>
      </c>
      <c r="E199" s="2">
        <v>148.69999999999999</v>
      </c>
      <c r="F199" s="2">
        <v>135.6</v>
      </c>
      <c r="G199" s="2">
        <v>142.30000000000001</v>
      </c>
      <c r="H199" s="2">
        <v>121.3</v>
      </c>
      <c r="I199" s="2">
        <v>153.19999999999999</v>
      </c>
      <c r="J199" s="2">
        <v>143.69999999999999</v>
      </c>
      <c r="K199" s="2">
        <v>121.4</v>
      </c>
      <c r="L199" s="2">
        <v>111.1</v>
      </c>
      <c r="M199" s="2">
        <v>138.4</v>
      </c>
      <c r="N199" s="2">
        <v>130.30000000000001</v>
      </c>
      <c r="O199" s="2">
        <v>151.80000000000001</v>
      </c>
      <c r="P199" s="2">
        <v>139.4</v>
      </c>
      <c r="Q199" s="2">
        <v>158.30000000000001</v>
      </c>
      <c r="R199" s="2">
        <v>146.4</v>
      </c>
      <c r="S199" s="2">
        <v>138.1</v>
      </c>
      <c r="T199" s="2">
        <v>145.19999999999999</v>
      </c>
      <c r="U199" s="2">
        <v>142.5</v>
      </c>
      <c r="V199" s="2">
        <v>138.1</v>
      </c>
      <c r="W199" s="2">
        <v>137.9</v>
      </c>
      <c r="X199" s="2">
        <v>136.19999999999999</v>
      </c>
      <c r="Y199" s="2">
        <v>123.7</v>
      </c>
      <c r="Z199" s="2">
        <v>132.6</v>
      </c>
      <c r="AA199" s="2">
        <v>142.80000000000001</v>
      </c>
      <c r="AB199" s="2">
        <v>130.1</v>
      </c>
      <c r="AC199" s="2">
        <v>132.6</v>
      </c>
      <c r="AD199" s="2">
        <v>138.5</v>
      </c>
    </row>
    <row r="200" spans="1:30" ht="15" thickBot="1" x14ac:dyDescent="0.4">
      <c r="A200" s="1" t="s">
        <v>30</v>
      </c>
      <c r="B200" s="2">
        <v>2018</v>
      </c>
      <c r="C200" s="1" t="s">
        <v>40</v>
      </c>
      <c r="D200" s="2">
        <v>138.4</v>
      </c>
      <c r="E200" s="2">
        <v>149.30000000000001</v>
      </c>
      <c r="F200" s="2">
        <v>139.30000000000001</v>
      </c>
      <c r="G200" s="2">
        <v>143.4</v>
      </c>
      <c r="H200" s="2">
        <v>124.1</v>
      </c>
      <c r="I200" s="2">
        <v>153.30000000000001</v>
      </c>
      <c r="J200" s="2">
        <v>154.19999999999999</v>
      </c>
      <c r="K200" s="2">
        <v>126.4</v>
      </c>
      <c r="L200" s="2">
        <v>114.3</v>
      </c>
      <c r="M200" s="2">
        <v>138.19999999999999</v>
      </c>
      <c r="N200" s="2">
        <v>132.80000000000001</v>
      </c>
      <c r="O200" s="2">
        <v>154.80000000000001</v>
      </c>
      <c r="P200" s="2">
        <v>142</v>
      </c>
      <c r="Q200" s="2">
        <v>156.1</v>
      </c>
      <c r="R200" s="2">
        <v>151.5</v>
      </c>
      <c r="S200" s="2">
        <v>145.1</v>
      </c>
      <c r="T200" s="2">
        <v>150.6</v>
      </c>
      <c r="U200" s="1" t="s">
        <v>32</v>
      </c>
      <c r="V200" s="2">
        <v>146.80000000000001</v>
      </c>
      <c r="W200" s="2">
        <v>143.1</v>
      </c>
      <c r="X200" s="2">
        <v>139</v>
      </c>
      <c r="Y200" s="2">
        <v>127.5</v>
      </c>
      <c r="Z200" s="2">
        <v>138.4</v>
      </c>
      <c r="AA200" s="2">
        <v>145.80000000000001</v>
      </c>
      <c r="AB200" s="2">
        <v>131.4</v>
      </c>
      <c r="AC200" s="2">
        <v>136</v>
      </c>
      <c r="AD200" s="2">
        <v>141.80000000000001</v>
      </c>
    </row>
    <row r="201" spans="1:30" ht="15" thickBot="1" x14ac:dyDescent="0.4">
      <c r="A201" s="1" t="s">
        <v>33</v>
      </c>
      <c r="B201" s="2">
        <v>2018</v>
      </c>
      <c r="C201" s="1" t="s">
        <v>40</v>
      </c>
      <c r="D201" s="2">
        <v>135.6</v>
      </c>
      <c r="E201" s="2">
        <v>148.6</v>
      </c>
      <c r="F201" s="2">
        <v>139.1</v>
      </c>
      <c r="G201" s="2">
        <v>141</v>
      </c>
      <c r="H201" s="2">
        <v>116.7</v>
      </c>
      <c r="I201" s="2">
        <v>149.69999999999999</v>
      </c>
      <c r="J201" s="2">
        <v>159.19999999999999</v>
      </c>
      <c r="K201" s="2">
        <v>112.6</v>
      </c>
      <c r="L201" s="2">
        <v>111.8</v>
      </c>
      <c r="M201" s="2">
        <v>140.30000000000001</v>
      </c>
      <c r="N201" s="2">
        <v>126.8</v>
      </c>
      <c r="O201" s="2">
        <v>149.4</v>
      </c>
      <c r="P201" s="2">
        <v>140.30000000000001</v>
      </c>
      <c r="Q201" s="2">
        <v>161.4</v>
      </c>
      <c r="R201" s="2">
        <v>139.6</v>
      </c>
      <c r="S201" s="2">
        <v>128.9</v>
      </c>
      <c r="T201" s="2">
        <v>137.9</v>
      </c>
      <c r="U201" s="2">
        <v>143.6</v>
      </c>
      <c r="V201" s="2">
        <v>128.1</v>
      </c>
      <c r="W201" s="2">
        <v>133.6</v>
      </c>
      <c r="X201" s="2">
        <v>133.6</v>
      </c>
      <c r="Y201" s="2">
        <v>120.1</v>
      </c>
      <c r="Z201" s="2">
        <v>129</v>
      </c>
      <c r="AA201" s="2">
        <v>144</v>
      </c>
      <c r="AB201" s="2">
        <v>128.19999999999999</v>
      </c>
      <c r="AC201" s="2">
        <v>130.19999999999999</v>
      </c>
      <c r="AD201" s="2">
        <v>137.5</v>
      </c>
    </row>
    <row r="202" spans="1:30" ht="26.5" thickBot="1" x14ac:dyDescent="0.4">
      <c r="A202" s="1" t="s">
        <v>34</v>
      </c>
      <c r="B202" s="2">
        <v>2018</v>
      </c>
      <c r="C202" s="1" t="s">
        <v>40</v>
      </c>
      <c r="D202" s="2">
        <v>137.5</v>
      </c>
      <c r="E202" s="2">
        <v>149.1</v>
      </c>
      <c r="F202" s="2">
        <v>139.19999999999999</v>
      </c>
      <c r="G202" s="2">
        <v>142.5</v>
      </c>
      <c r="H202" s="2">
        <v>121.4</v>
      </c>
      <c r="I202" s="2">
        <v>151.6</v>
      </c>
      <c r="J202" s="2">
        <v>155.9</v>
      </c>
      <c r="K202" s="2">
        <v>121.7</v>
      </c>
      <c r="L202" s="2">
        <v>113.5</v>
      </c>
      <c r="M202" s="2">
        <v>138.9</v>
      </c>
      <c r="N202" s="2">
        <v>130.30000000000001</v>
      </c>
      <c r="O202" s="2">
        <v>152.30000000000001</v>
      </c>
      <c r="P202" s="2">
        <v>141.4</v>
      </c>
      <c r="Q202" s="2">
        <v>157.5</v>
      </c>
      <c r="R202" s="2">
        <v>146.80000000000001</v>
      </c>
      <c r="S202" s="2">
        <v>138.4</v>
      </c>
      <c r="T202" s="2">
        <v>145.6</v>
      </c>
      <c r="U202" s="2">
        <v>143.6</v>
      </c>
      <c r="V202" s="2">
        <v>139.69999999999999</v>
      </c>
      <c r="W202" s="2">
        <v>138.6</v>
      </c>
      <c r="X202" s="2">
        <v>137</v>
      </c>
      <c r="Y202" s="2">
        <v>123.6</v>
      </c>
      <c r="Z202" s="2">
        <v>133.1</v>
      </c>
      <c r="AA202" s="2">
        <v>144.69999999999999</v>
      </c>
      <c r="AB202" s="2">
        <v>130.1</v>
      </c>
      <c r="AC202" s="2">
        <v>133.19999999999999</v>
      </c>
      <c r="AD202" s="2">
        <v>139.80000000000001</v>
      </c>
    </row>
    <row r="203" spans="1:30" ht="15" thickBot="1" x14ac:dyDescent="0.4">
      <c r="A203" s="1" t="s">
        <v>30</v>
      </c>
      <c r="B203" s="2">
        <v>2018</v>
      </c>
      <c r="C203" s="1" t="s">
        <v>41</v>
      </c>
      <c r="D203" s="2">
        <v>139.19999999999999</v>
      </c>
      <c r="E203" s="2">
        <v>148.80000000000001</v>
      </c>
      <c r="F203" s="2">
        <v>139.1</v>
      </c>
      <c r="G203" s="2">
        <v>143.5</v>
      </c>
      <c r="H203" s="2">
        <v>125</v>
      </c>
      <c r="I203" s="2">
        <v>154.4</v>
      </c>
      <c r="J203" s="2">
        <v>156.30000000000001</v>
      </c>
      <c r="K203" s="2">
        <v>126.8</v>
      </c>
      <c r="L203" s="2">
        <v>115.4</v>
      </c>
      <c r="M203" s="2">
        <v>138.6</v>
      </c>
      <c r="N203" s="2">
        <v>133.80000000000001</v>
      </c>
      <c r="O203" s="2">
        <v>155.19999999999999</v>
      </c>
      <c r="P203" s="2">
        <v>142.69999999999999</v>
      </c>
      <c r="Q203" s="2">
        <v>156.4</v>
      </c>
      <c r="R203" s="2">
        <v>152.1</v>
      </c>
      <c r="S203" s="2">
        <v>145.80000000000001</v>
      </c>
      <c r="T203" s="2">
        <v>151.30000000000001</v>
      </c>
      <c r="U203" s="1" t="s">
        <v>32</v>
      </c>
      <c r="V203" s="2">
        <v>147.69999999999999</v>
      </c>
      <c r="W203" s="2">
        <v>143.80000000000001</v>
      </c>
      <c r="X203" s="2">
        <v>139.4</v>
      </c>
      <c r="Y203" s="2">
        <v>128.30000000000001</v>
      </c>
      <c r="Z203" s="2">
        <v>138.6</v>
      </c>
      <c r="AA203" s="2">
        <v>146.9</v>
      </c>
      <c r="AB203" s="2">
        <v>131.30000000000001</v>
      </c>
      <c r="AC203" s="2">
        <v>136.6</v>
      </c>
      <c r="AD203" s="2">
        <v>142.5</v>
      </c>
    </row>
    <row r="204" spans="1:30" ht="15" thickBot="1" x14ac:dyDescent="0.4">
      <c r="A204" s="1" t="s">
        <v>33</v>
      </c>
      <c r="B204" s="2">
        <v>2018</v>
      </c>
      <c r="C204" s="1" t="s">
        <v>41</v>
      </c>
      <c r="D204" s="2">
        <v>136.5</v>
      </c>
      <c r="E204" s="2">
        <v>146.4</v>
      </c>
      <c r="F204" s="2">
        <v>136.6</v>
      </c>
      <c r="G204" s="2">
        <v>141.19999999999999</v>
      </c>
      <c r="H204" s="2">
        <v>117.4</v>
      </c>
      <c r="I204" s="2">
        <v>146.30000000000001</v>
      </c>
      <c r="J204" s="2">
        <v>157.30000000000001</v>
      </c>
      <c r="K204" s="2">
        <v>113.6</v>
      </c>
      <c r="L204" s="2">
        <v>113.3</v>
      </c>
      <c r="M204" s="2">
        <v>141.1</v>
      </c>
      <c r="N204" s="2">
        <v>127.4</v>
      </c>
      <c r="O204" s="2">
        <v>150.4</v>
      </c>
      <c r="P204" s="2">
        <v>140.1</v>
      </c>
      <c r="Q204" s="2">
        <v>162.1</v>
      </c>
      <c r="R204" s="2">
        <v>140</v>
      </c>
      <c r="S204" s="2">
        <v>129</v>
      </c>
      <c r="T204" s="2">
        <v>138.30000000000001</v>
      </c>
      <c r="U204" s="2">
        <v>144.6</v>
      </c>
      <c r="V204" s="2">
        <v>129.80000000000001</v>
      </c>
      <c r="W204" s="2">
        <v>134.4</v>
      </c>
      <c r="X204" s="2">
        <v>134.9</v>
      </c>
      <c r="Y204" s="2">
        <v>120.7</v>
      </c>
      <c r="Z204" s="2">
        <v>129.80000000000001</v>
      </c>
      <c r="AA204" s="2">
        <v>145.30000000000001</v>
      </c>
      <c r="AB204" s="2">
        <v>128.30000000000001</v>
      </c>
      <c r="AC204" s="2">
        <v>131</v>
      </c>
      <c r="AD204" s="2">
        <v>138</v>
      </c>
    </row>
    <row r="205" spans="1:30" ht="26.5" thickBot="1" x14ac:dyDescent="0.4">
      <c r="A205" s="1" t="s">
        <v>34</v>
      </c>
      <c r="B205" s="2">
        <v>2018</v>
      </c>
      <c r="C205" s="1" t="s">
        <v>41</v>
      </c>
      <c r="D205" s="2">
        <v>138.30000000000001</v>
      </c>
      <c r="E205" s="2">
        <v>148</v>
      </c>
      <c r="F205" s="2">
        <v>138.1</v>
      </c>
      <c r="G205" s="2">
        <v>142.6</v>
      </c>
      <c r="H205" s="2">
        <v>122.2</v>
      </c>
      <c r="I205" s="2">
        <v>150.6</v>
      </c>
      <c r="J205" s="2">
        <v>156.6</v>
      </c>
      <c r="K205" s="2">
        <v>122.4</v>
      </c>
      <c r="L205" s="2">
        <v>114.7</v>
      </c>
      <c r="M205" s="2">
        <v>139.4</v>
      </c>
      <c r="N205" s="2">
        <v>131.1</v>
      </c>
      <c r="O205" s="2">
        <v>153</v>
      </c>
      <c r="P205" s="2">
        <v>141.69999999999999</v>
      </c>
      <c r="Q205" s="2">
        <v>157.9</v>
      </c>
      <c r="R205" s="2">
        <v>147.30000000000001</v>
      </c>
      <c r="S205" s="2">
        <v>138.80000000000001</v>
      </c>
      <c r="T205" s="2">
        <v>146.1</v>
      </c>
      <c r="U205" s="2">
        <v>144.6</v>
      </c>
      <c r="V205" s="2">
        <v>140.9</v>
      </c>
      <c r="W205" s="2">
        <v>139.4</v>
      </c>
      <c r="X205" s="2">
        <v>137.69999999999999</v>
      </c>
      <c r="Y205" s="2">
        <v>124.3</v>
      </c>
      <c r="Z205" s="2">
        <v>133.6</v>
      </c>
      <c r="AA205" s="2">
        <v>146</v>
      </c>
      <c r="AB205" s="2">
        <v>130.1</v>
      </c>
      <c r="AC205" s="2">
        <v>133.9</v>
      </c>
      <c r="AD205" s="2">
        <v>140.4</v>
      </c>
    </row>
    <row r="206" spans="1:30" ht="26.5" thickBot="1" x14ac:dyDescent="0.4">
      <c r="A206" s="1" t="s">
        <v>30</v>
      </c>
      <c r="B206" s="2">
        <v>2018</v>
      </c>
      <c r="C206" s="1" t="s">
        <v>42</v>
      </c>
      <c r="D206" s="2">
        <v>139.4</v>
      </c>
      <c r="E206" s="2">
        <v>147.19999999999999</v>
      </c>
      <c r="F206" s="2">
        <v>136.6</v>
      </c>
      <c r="G206" s="2">
        <v>143.69999999999999</v>
      </c>
      <c r="H206" s="2">
        <v>124.6</v>
      </c>
      <c r="I206" s="2">
        <v>150.1</v>
      </c>
      <c r="J206" s="2">
        <v>149.4</v>
      </c>
      <c r="K206" s="2">
        <v>125.4</v>
      </c>
      <c r="L206" s="2">
        <v>114.4</v>
      </c>
      <c r="M206" s="2">
        <v>138.69999999999999</v>
      </c>
      <c r="N206" s="2">
        <v>133.1</v>
      </c>
      <c r="O206" s="2">
        <v>155.9</v>
      </c>
      <c r="P206" s="2">
        <v>141.30000000000001</v>
      </c>
      <c r="Q206" s="2">
        <v>157.69999999999999</v>
      </c>
      <c r="R206" s="2">
        <v>152.1</v>
      </c>
      <c r="S206" s="2">
        <v>146.1</v>
      </c>
      <c r="T206" s="2">
        <v>151.30000000000001</v>
      </c>
      <c r="U206" s="1" t="s">
        <v>32</v>
      </c>
      <c r="V206" s="2">
        <v>149</v>
      </c>
      <c r="W206" s="2">
        <v>144</v>
      </c>
      <c r="X206" s="2">
        <v>140</v>
      </c>
      <c r="Y206" s="2">
        <v>129.9</v>
      </c>
      <c r="Z206" s="2">
        <v>140</v>
      </c>
      <c r="AA206" s="2">
        <v>147.6</v>
      </c>
      <c r="AB206" s="2">
        <v>132</v>
      </c>
      <c r="AC206" s="2">
        <v>137.4</v>
      </c>
      <c r="AD206" s="2">
        <v>142.1</v>
      </c>
    </row>
    <row r="207" spans="1:30" ht="26.5" thickBot="1" x14ac:dyDescent="0.4">
      <c r="A207" s="1" t="s">
        <v>33</v>
      </c>
      <c r="B207" s="2">
        <v>2018</v>
      </c>
      <c r="C207" s="1" t="s">
        <v>42</v>
      </c>
      <c r="D207" s="2">
        <v>137</v>
      </c>
      <c r="E207" s="2">
        <v>143.1</v>
      </c>
      <c r="F207" s="2">
        <v>132.80000000000001</v>
      </c>
      <c r="G207" s="2">
        <v>141.5</v>
      </c>
      <c r="H207" s="2">
        <v>117.8</v>
      </c>
      <c r="I207" s="2">
        <v>140</v>
      </c>
      <c r="J207" s="2">
        <v>151.30000000000001</v>
      </c>
      <c r="K207" s="2">
        <v>113.5</v>
      </c>
      <c r="L207" s="2">
        <v>112.3</v>
      </c>
      <c r="M207" s="2">
        <v>141.19999999999999</v>
      </c>
      <c r="N207" s="2">
        <v>127.7</v>
      </c>
      <c r="O207" s="2">
        <v>151.30000000000001</v>
      </c>
      <c r="P207" s="2">
        <v>138.9</v>
      </c>
      <c r="Q207" s="2">
        <v>163.30000000000001</v>
      </c>
      <c r="R207" s="2">
        <v>140.80000000000001</v>
      </c>
      <c r="S207" s="2">
        <v>129.30000000000001</v>
      </c>
      <c r="T207" s="2">
        <v>139.1</v>
      </c>
      <c r="U207" s="2">
        <v>145.30000000000001</v>
      </c>
      <c r="V207" s="2">
        <v>131.19999999999999</v>
      </c>
      <c r="W207" s="2">
        <v>134.9</v>
      </c>
      <c r="X207" s="2">
        <v>135.69999999999999</v>
      </c>
      <c r="Y207" s="2">
        <v>122.5</v>
      </c>
      <c r="Z207" s="2">
        <v>130.19999999999999</v>
      </c>
      <c r="AA207" s="2">
        <v>145.19999999999999</v>
      </c>
      <c r="AB207" s="2">
        <v>129.30000000000001</v>
      </c>
      <c r="AC207" s="2">
        <v>131.9</v>
      </c>
      <c r="AD207" s="2">
        <v>138.1</v>
      </c>
    </row>
    <row r="208" spans="1:30" ht="26.5" thickBot="1" x14ac:dyDescent="0.4">
      <c r="A208" s="1" t="s">
        <v>34</v>
      </c>
      <c r="B208" s="2">
        <v>2018</v>
      </c>
      <c r="C208" s="1" t="s">
        <v>42</v>
      </c>
      <c r="D208" s="2">
        <v>138.6</v>
      </c>
      <c r="E208" s="2">
        <v>145.80000000000001</v>
      </c>
      <c r="F208" s="2">
        <v>135.1</v>
      </c>
      <c r="G208" s="2">
        <v>142.9</v>
      </c>
      <c r="H208" s="2">
        <v>122.1</v>
      </c>
      <c r="I208" s="2">
        <v>145.4</v>
      </c>
      <c r="J208" s="2">
        <v>150</v>
      </c>
      <c r="K208" s="2">
        <v>121.4</v>
      </c>
      <c r="L208" s="2">
        <v>113.7</v>
      </c>
      <c r="M208" s="2">
        <v>139.5</v>
      </c>
      <c r="N208" s="2">
        <v>130.80000000000001</v>
      </c>
      <c r="O208" s="2">
        <v>153.80000000000001</v>
      </c>
      <c r="P208" s="2">
        <v>140.4</v>
      </c>
      <c r="Q208" s="2">
        <v>159.19999999999999</v>
      </c>
      <c r="R208" s="2">
        <v>147.69999999999999</v>
      </c>
      <c r="S208" s="2">
        <v>139.1</v>
      </c>
      <c r="T208" s="2">
        <v>146.5</v>
      </c>
      <c r="U208" s="2">
        <v>145.30000000000001</v>
      </c>
      <c r="V208" s="2">
        <v>142.30000000000001</v>
      </c>
      <c r="W208" s="2">
        <v>139.69999999999999</v>
      </c>
      <c r="X208" s="2">
        <v>138.4</v>
      </c>
      <c r="Y208" s="2">
        <v>126</v>
      </c>
      <c r="Z208" s="2">
        <v>134.5</v>
      </c>
      <c r="AA208" s="2">
        <v>146.19999999999999</v>
      </c>
      <c r="AB208" s="2">
        <v>130.9</v>
      </c>
      <c r="AC208" s="2">
        <v>134.69999999999999</v>
      </c>
      <c r="AD208" s="2">
        <v>140.19999999999999</v>
      </c>
    </row>
    <row r="209" spans="1:30" ht="15" thickBot="1" x14ac:dyDescent="0.4">
      <c r="A209" s="1" t="s">
        <v>30</v>
      </c>
      <c r="B209" s="2">
        <v>2018</v>
      </c>
      <c r="C209" s="1" t="s">
        <v>43</v>
      </c>
      <c r="D209" s="2">
        <v>139.30000000000001</v>
      </c>
      <c r="E209" s="2">
        <v>147.6</v>
      </c>
      <c r="F209" s="2">
        <v>134.6</v>
      </c>
      <c r="G209" s="2">
        <v>141.9</v>
      </c>
      <c r="H209" s="2">
        <v>123.5</v>
      </c>
      <c r="I209" s="2">
        <v>144.5</v>
      </c>
      <c r="J209" s="2">
        <v>147.6</v>
      </c>
      <c r="K209" s="2">
        <v>121.4</v>
      </c>
      <c r="L209" s="2">
        <v>112.3</v>
      </c>
      <c r="M209" s="2">
        <v>139.5</v>
      </c>
      <c r="N209" s="2">
        <v>134.6</v>
      </c>
      <c r="O209" s="2">
        <v>155.19999999999999</v>
      </c>
      <c r="P209" s="2">
        <v>140.19999999999999</v>
      </c>
      <c r="Q209" s="2">
        <v>159.6</v>
      </c>
      <c r="R209" s="2">
        <v>150.69999999999999</v>
      </c>
      <c r="S209" s="2">
        <v>144.5</v>
      </c>
      <c r="T209" s="2">
        <v>149.80000000000001</v>
      </c>
      <c r="U209" s="1" t="s">
        <v>32</v>
      </c>
      <c r="V209" s="2">
        <v>149.69999999999999</v>
      </c>
      <c r="W209" s="2">
        <v>147.5</v>
      </c>
      <c r="X209" s="2">
        <v>144.80000000000001</v>
      </c>
      <c r="Y209" s="2">
        <v>130.80000000000001</v>
      </c>
      <c r="Z209" s="2">
        <v>140.1</v>
      </c>
      <c r="AA209" s="2">
        <v>148</v>
      </c>
      <c r="AB209" s="2">
        <v>134.4</v>
      </c>
      <c r="AC209" s="2">
        <v>139.80000000000001</v>
      </c>
      <c r="AD209" s="2">
        <v>142.19999999999999</v>
      </c>
    </row>
    <row r="210" spans="1:30" ht="15" thickBot="1" x14ac:dyDescent="0.4">
      <c r="A210" s="1" t="s">
        <v>33</v>
      </c>
      <c r="B210" s="2">
        <v>2018</v>
      </c>
      <c r="C210" s="1" t="s">
        <v>43</v>
      </c>
      <c r="D210" s="2">
        <v>137.6</v>
      </c>
      <c r="E210" s="2">
        <v>144.9</v>
      </c>
      <c r="F210" s="2">
        <v>133.5</v>
      </c>
      <c r="G210" s="2">
        <v>141.5</v>
      </c>
      <c r="H210" s="2">
        <v>118</v>
      </c>
      <c r="I210" s="2">
        <v>139.5</v>
      </c>
      <c r="J210" s="2">
        <v>153</v>
      </c>
      <c r="K210" s="2">
        <v>113.2</v>
      </c>
      <c r="L210" s="2">
        <v>112.8</v>
      </c>
      <c r="M210" s="2">
        <v>141.1</v>
      </c>
      <c r="N210" s="2">
        <v>127.6</v>
      </c>
      <c r="O210" s="2">
        <v>152</v>
      </c>
      <c r="P210" s="2">
        <v>139.4</v>
      </c>
      <c r="Q210" s="2">
        <v>164</v>
      </c>
      <c r="R210" s="2">
        <v>141.5</v>
      </c>
      <c r="S210" s="2">
        <v>129.80000000000001</v>
      </c>
      <c r="T210" s="2">
        <v>139.69999999999999</v>
      </c>
      <c r="U210" s="2">
        <v>146.30000000000001</v>
      </c>
      <c r="V210" s="2">
        <v>133.4</v>
      </c>
      <c r="W210" s="2">
        <v>135.1</v>
      </c>
      <c r="X210" s="2">
        <v>136.19999999999999</v>
      </c>
      <c r="Y210" s="2">
        <v>123.3</v>
      </c>
      <c r="Z210" s="2">
        <v>130.69999999999999</v>
      </c>
      <c r="AA210" s="2">
        <v>145.5</v>
      </c>
      <c r="AB210" s="2">
        <v>130.4</v>
      </c>
      <c r="AC210" s="2">
        <v>132.5</v>
      </c>
      <c r="AD210" s="2">
        <v>138.9</v>
      </c>
    </row>
    <row r="211" spans="1:30" ht="26.5" thickBot="1" x14ac:dyDescent="0.4">
      <c r="A211" s="1" t="s">
        <v>34</v>
      </c>
      <c r="B211" s="2">
        <v>2018</v>
      </c>
      <c r="C211" s="1" t="s">
        <v>43</v>
      </c>
      <c r="D211" s="2">
        <v>137.4</v>
      </c>
      <c r="E211" s="2">
        <v>149.5</v>
      </c>
      <c r="F211" s="2">
        <v>137.30000000000001</v>
      </c>
      <c r="G211" s="2">
        <v>141.9</v>
      </c>
      <c r="H211" s="2">
        <v>121.1</v>
      </c>
      <c r="I211" s="2">
        <v>142.5</v>
      </c>
      <c r="J211" s="2">
        <v>146.69999999999999</v>
      </c>
      <c r="K211" s="2">
        <v>119.1</v>
      </c>
      <c r="L211" s="2">
        <v>111.9</v>
      </c>
      <c r="M211" s="2">
        <v>141</v>
      </c>
      <c r="N211" s="2">
        <v>133.6</v>
      </c>
      <c r="O211" s="2">
        <v>154.5</v>
      </c>
      <c r="P211" s="2">
        <v>139.69999999999999</v>
      </c>
      <c r="Q211" s="2">
        <v>162.6</v>
      </c>
      <c r="R211" s="2">
        <v>148</v>
      </c>
      <c r="S211" s="2">
        <v>139.19999999999999</v>
      </c>
      <c r="T211" s="2">
        <v>146.80000000000001</v>
      </c>
      <c r="U211" s="2">
        <v>146.9</v>
      </c>
      <c r="V211" s="2">
        <v>145.30000000000001</v>
      </c>
      <c r="W211" s="2">
        <v>142.19999999999999</v>
      </c>
      <c r="X211" s="2">
        <v>142.1</v>
      </c>
      <c r="Y211" s="2">
        <v>125.5</v>
      </c>
      <c r="Z211" s="2">
        <v>136.5</v>
      </c>
      <c r="AA211" s="2">
        <v>147.80000000000001</v>
      </c>
      <c r="AB211" s="2">
        <v>132</v>
      </c>
      <c r="AC211" s="2">
        <v>136.30000000000001</v>
      </c>
      <c r="AD211" s="2">
        <v>140.80000000000001</v>
      </c>
    </row>
    <row r="212" spans="1:30" ht="26.5" thickBot="1" x14ac:dyDescent="0.4">
      <c r="A212" s="1" t="s">
        <v>30</v>
      </c>
      <c r="B212" s="2">
        <v>2018</v>
      </c>
      <c r="C212" s="1" t="s">
        <v>44</v>
      </c>
      <c r="D212" s="2">
        <v>137.1</v>
      </c>
      <c r="E212" s="2">
        <v>150.80000000000001</v>
      </c>
      <c r="F212" s="2">
        <v>136.69999999999999</v>
      </c>
      <c r="G212" s="2">
        <v>141.9</v>
      </c>
      <c r="H212" s="2">
        <v>122.8</v>
      </c>
      <c r="I212" s="2">
        <v>143.9</v>
      </c>
      <c r="J212" s="2">
        <v>147.5</v>
      </c>
      <c r="K212" s="2">
        <v>121</v>
      </c>
      <c r="L212" s="2">
        <v>111.6</v>
      </c>
      <c r="M212" s="2">
        <v>140.6</v>
      </c>
      <c r="N212" s="2">
        <v>137.5</v>
      </c>
      <c r="O212" s="2">
        <v>156.1</v>
      </c>
      <c r="P212" s="2">
        <v>140</v>
      </c>
      <c r="Q212" s="2">
        <v>161.9</v>
      </c>
      <c r="R212" s="2">
        <v>151.69999999999999</v>
      </c>
      <c r="S212" s="2">
        <v>145.5</v>
      </c>
      <c r="T212" s="2">
        <v>150.80000000000001</v>
      </c>
      <c r="U212" s="1" t="s">
        <v>32</v>
      </c>
      <c r="V212" s="2">
        <v>150.30000000000001</v>
      </c>
      <c r="W212" s="2">
        <v>148</v>
      </c>
      <c r="X212" s="2">
        <v>145.4</v>
      </c>
      <c r="Y212" s="2">
        <v>130.30000000000001</v>
      </c>
      <c r="Z212" s="2">
        <v>143.1</v>
      </c>
      <c r="AA212" s="2">
        <v>150.19999999999999</v>
      </c>
      <c r="AB212" s="2">
        <v>133.1</v>
      </c>
      <c r="AC212" s="2">
        <v>140.1</v>
      </c>
      <c r="AD212" s="2">
        <v>142.4</v>
      </c>
    </row>
    <row r="213" spans="1:30" ht="26.5" thickBot="1" x14ac:dyDescent="0.4">
      <c r="A213" s="1" t="s">
        <v>33</v>
      </c>
      <c r="B213" s="2">
        <v>2018</v>
      </c>
      <c r="C213" s="1" t="s">
        <v>44</v>
      </c>
      <c r="D213" s="2">
        <v>138.1</v>
      </c>
      <c r="E213" s="2">
        <v>146.30000000000001</v>
      </c>
      <c r="F213" s="2">
        <v>137.80000000000001</v>
      </c>
      <c r="G213" s="2">
        <v>141.6</v>
      </c>
      <c r="H213" s="2">
        <v>118.1</v>
      </c>
      <c r="I213" s="2">
        <v>141.5</v>
      </c>
      <c r="J213" s="2">
        <v>145.19999999999999</v>
      </c>
      <c r="K213" s="2">
        <v>115.3</v>
      </c>
      <c r="L213" s="2">
        <v>112.5</v>
      </c>
      <c r="M213" s="2">
        <v>141.4</v>
      </c>
      <c r="N213" s="2">
        <v>128</v>
      </c>
      <c r="O213" s="2">
        <v>152.6</v>
      </c>
      <c r="P213" s="2">
        <v>139.1</v>
      </c>
      <c r="Q213" s="2">
        <v>164.4</v>
      </c>
      <c r="R213" s="2">
        <v>142.4</v>
      </c>
      <c r="S213" s="2">
        <v>130.19999999999999</v>
      </c>
      <c r="T213" s="2">
        <v>140.5</v>
      </c>
      <c r="U213" s="2">
        <v>146.9</v>
      </c>
      <c r="V213" s="2">
        <v>136.69999999999999</v>
      </c>
      <c r="W213" s="2">
        <v>135.80000000000001</v>
      </c>
      <c r="X213" s="2">
        <v>136.80000000000001</v>
      </c>
      <c r="Y213" s="2">
        <v>121.2</v>
      </c>
      <c r="Z213" s="2">
        <v>131.30000000000001</v>
      </c>
      <c r="AA213" s="2">
        <v>146.1</v>
      </c>
      <c r="AB213" s="2">
        <v>130.5</v>
      </c>
      <c r="AC213" s="2">
        <v>132.19999999999999</v>
      </c>
      <c r="AD213" s="2">
        <v>139</v>
      </c>
    </row>
    <row r="214" spans="1:30" ht="26.5" thickBot="1" x14ac:dyDescent="0.4">
      <c r="A214" s="1" t="s">
        <v>34</v>
      </c>
      <c r="B214" s="2">
        <v>2018</v>
      </c>
      <c r="C214" s="1" t="s">
        <v>44</v>
      </c>
      <c r="D214" s="2">
        <v>137.4</v>
      </c>
      <c r="E214" s="2">
        <v>149.19999999999999</v>
      </c>
      <c r="F214" s="2">
        <v>137.1</v>
      </c>
      <c r="G214" s="2">
        <v>141.80000000000001</v>
      </c>
      <c r="H214" s="2">
        <v>121.1</v>
      </c>
      <c r="I214" s="2">
        <v>142.80000000000001</v>
      </c>
      <c r="J214" s="2">
        <v>146.69999999999999</v>
      </c>
      <c r="K214" s="2">
        <v>119.1</v>
      </c>
      <c r="L214" s="2">
        <v>111.9</v>
      </c>
      <c r="M214" s="2">
        <v>140.9</v>
      </c>
      <c r="N214" s="2">
        <v>133.5</v>
      </c>
      <c r="O214" s="2">
        <v>154.5</v>
      </c>
      <c r="P214" s="2">
        <v>139.69999999999999</v>
      </c>
      <c r="Q214" s="2">
        <v>162.6</v>
      </c>
      <c r="R214" s="2">
        <v>148</v>
      </c>
      <c r="S214" s="2">
        <v>139.1</v>
      </c>
      <c r="T214" s="2">
        <v>146.69999999999999</v>
      </c>
      <c r="U214" s="2">
        <v>146.9</v>
      </c>
      <c r="V214" s="2">
        <v>145.1</v>
      </c>
      <c r="W214" s="2">
        <v>142.19999999999999</v>
      </c>
      <c r="X214" s="2">
        <v>142.1</v>
      </c>
      <c r="Y214" s="2">
        <v>125.5</v>
      </c>
      <c r="Z214" s="2">
        <v>136.5</v>
      </c>
      <c r="AA214" s="2">
        <v>147.80000000000001</v>
      </c>
      <c r="AB214" s="2">
        <v>132</v>
      </c>
      <c r="AC214" s="2">
        <v>136.30000000000001</v>
      </c>
      <c r="AD214" s="2">
        <v>140.80000000000001</v>
      </c>
    </row>
    <row r="215" spans="1:30" ht="26.5" thickBot="1" x14ac:dyDescent="0.4">
      <c r="A215" s="1" t="s">
        <v>30</v>
      </c>
      <c r="B215" s="2">
        <v>2018</v>
      </c>
      <c r="C215" s="1" t="s">
        <v>45</v>
      </c>
      <c r="D215" s="2">
        <v>137.1</v>
      </c>
      <c r="E215" s="2">
        <v>151.9</v>
      </c>
      <c r="F215" s="2">
        <v>137.4</v>
      </c>
      <c r="G215" s="2">
        <v>142.4</v>
      </c>
      <c r="H215" s="2">
        <v>124.2</v>
      </c>
      <c r="I215" s="2">
        <v>140.19999999999999</v>
      </c>
      <c r="J215" s="2">
        <v>136.6</v>
      </c>
      <c r="K215" s="2">
        <v>120.9</v>
      </c>
      <c r="L215" s="2">
        <v>109.9</v>
      </c>
      <c r="M215" s="2">
        <v>140.19999999999999</v>
      </c>
      <c r="N215" s="2">
        <v>137.80000000000001</v>
      </c>
      <c r="O215" s="2">
        <v>156</v>
      </c>
      <c r="P215" s="2">
        <v>138.5</v>
      </c>
      <c r="Q215" s="2">
        <v>162.4</v>
      </c>
      <c r="R215" s="2">
        <v>151.6</v>
      </c>
      <c r="S215" s="2">
        <v>145.9</v>
      </c>
      <c r="T215" s="2">
        <v>150.80000000000001</v>
      </c>
      <c r="U215" s="1" t="s">
        <v>32</v>
      </c>
      <c r="V215" s="2">
        <v>149</v>
      </c>
      <c r="W215" s="2">
        <v>149.5</v>
      </c>
      <c r="X215" s="2">
        <v>149.6</v>
      </c>
      <c r="Y215" s="2">
        <v>128.9</v>
      </c>
      <c r="Z215" s="2">
        <v>143.30000000000001</v>
      </c>
      <c r="AA215" s="2">
        <v>155.1</v>
      </c>
      <c r="AB215" s="2">
        <v>133.19999999999999</v>
      </c>
      <c r="AC215" s="2">
        <v>141.6</v>
      </c>
      <c r="AD215" s="2">
        <v>141.9</v>
      </c>
    </row>
    <row r="216" spans="1:30" ht="26.5" thickBot="1" x14ac:dyDescent="0.4">
      <c r="A216" s="1" t="s">
        <v>33</v>
      </c>
      <c r="B216" s="2">
        <v>2018</v>
      </c>
      <c r="C216" s="1" t="s">
        <v>45</v>
      </c>
      <c r="D216" s="2">
        <v>138.5</v>
      </c>
      <c r="E216" s="2">
        <v>147.80000000000001</v>
      </c>
      <c r="F216" s="2">
        <v>141.1</v>
      </c>
      <c r="G216" s="2">
        <v>141.6</v>
      </c>
      <c r="H216" s="2">
        <v>118.1</v>
      </c>
      <c r="I216" s="2">
        <v>138.5</v>
      </c>
      <c r="J216" s="2">
        <v>132.4</v>
      </c>
      <c r="K216" s="2">
        <v>117.5</v>
      </c>
      <c r="L216" s="2">
        <v>111</v>
      </c>
      <c r="M216" s="2">
        <v>141.5</v>
      </c>
      <c r="N216" s="2">
        <v>128.1</v>
      </c>
      <c r="O216" s="2">
        <v>152.9</v>
      </c>
      <c r="P216" s="2">
        <v>137.6</v>
      </c>
      <c r="Q216" s="2">
        <v>164.6</v>
      </c>
      <c r="R216" s="2">
        <v>142.69999999999999</v>
      </c>
      <c r="S216" s="2">
        <v>130.30000000000001</v>
      </c>
      <c r="T216" s="2">
        <v>140.80000000000001</v>
      </c>
      <c r="U216" s="2">
        <v>146.5</v>
      </c>
      <c r="V216" s="2">
        <v>132.4</v>
      </c>
      <c r="W216" s="2">
        <v>136.19999999999999</v>
      </c>
      <c r="X216" s="2">
        <v>137.30000000000001</v>
      </c>
      <c r="Y216" s="2">
        <v>118.8</v>
      </c>
      <c r="Z216" s="2">
        <v>131.69999999999999</v>
      </c>
      <c r="AA216" s="2">
        <v>146.5</v>
      </c>
      <c r="AB216" s="2">
        <v>130.80000000000001</v>
      </c>
      <c r="AC216" s="2">
        <v>131.69999999999999</v>
      </c>
      <c r="AD216" s="2">
        <v>138</v>
      </c>
    </row>
    <row r="217" spans="1:30" ht="26.5" thickBot="1" x14ac:dyDescent="0.4">
      <c r="A217" s="1" t="s">
        <v>34</v>
      </c>
      <c r="B217" s="2">
        <v>2018</v>
      </c>
      <c r="C217" s="1" t="s">
        <v>45</v>
      </c>
      <c r="D217" s="2">
        <v>137.5</v>
      </c>
      <c r="E217" s="2">
        <v>150.5</v>
      </c>
      <c r="F217" s="2">
        <v>138.80000000000001</v>
      </c>
      <c r="G217" s="2">
        <v>142.1</v>
      </c>
      <c r="H217" s="2">
        <v>122</v>
      </c>
      <c r="I217" s="2">
        <v>139.4</v>
      </c>
      <c r="J217" s="2">
        <v>135.19999999999999</v>
      </c>
      <c r="K217" s="2">
        <v>119.8</v>
      </c>
      <c r="L217" s="2">
        <v>110.3</v>
      </c>
      <c r="M217" s="2">
        <v>140.6</v>
      </c>
      <c r="N217" s="2">
        <v>133.80000000000001</v>
      </c>
      <c r="O217" s="2">
        <v>154.6</v>
      </c>
      <c r="P217" s="2">
        <v>138.19999999999999</v>
      </c>
      <c r="Q217" s="2">
        <v>163</v>
      </c>
      <c r="R217" s="2">
        <v>148.1</v>
      </c>
      <c r="S217" s="2">
        <v>139.4</v>
      </c>
      <c r="T217" s="2">
        <v>146.80000000000001</v>
      </c>
      <c r="U217" s="2">
        <v>146.5</v>
      </c>
      <c r="V217" s="2">
        <v>142.69999999999999</v>
      </c>
      <c r="W217" s="2">
        <v>143.19999999999999</v>
      </c>
      <c r="X217" s="2">
        <v>144.9</v>
      </c>
      <c r="Y217" s="2">
        <v>123.6</v>
      </c>
      <c r="Z217" s="2">
        <v>136.80000000000001</v>
      </c>
      <c r="AA217" s="2">
        <v>150.1</v>
      </c>
      <c r="AB217" s="2">
        <v>132.19999999999999</v>
      </c>
      <c r="AC217" s="2">
        <v>136.80000000000001</v>
      </c>
      <c r="AD217" s="2">
        <v>140.1</v>
      </c>
    </row>
    <row r="218" spans="1:30" ht="15" thickBot="1" x14ac:dyDescent="0.4">
      <c r="A218" s="1" t="s">
        <v>30</v>
      </c>
      <c r="B218" s="2">
        <v>2019</v>
      </c>
      <c r="C218" s="1" t="s">
        <v>31</v>
      </c>
      <c r="D218" s="2">
        <v>136.6</v>
      </c>
      <c r="E218" s="2">
        <v>152.5</v>
      </c>
      <c r="F218" s="2">
        <v>138.19999999999999</v>
      </c>
      <c r="G218" s="2">
        <v>142.4</v>
      </c>
      <c r="H218" s="2">
        <v>123.9</v>
      </c>
      <c r="I218" s="2">
        <v>135.5</v>
      </c>
      <c r="J218" s="2">
        <v>131.69999999999999</v>
      </c>
      <c r="K218" s="2">
        <v>121.3</v>
      </c>
      <c r="L218" s="2">
        <v>108.4</v>
      </c>
      <c r="M218" s="2">
        <v>138.9</v>
      </c>
      <c r="N218" s="2">
        <v>137</v>
      </c>
      <c r="O218" s="2">
        <v>155.80000000000001</v>
      </c>
      <c r="P218" s="2">
        <v>137.4</v>
      </c>
      <c r="Q218" s="2">
        <v>162.69999999999999</v>
      </c>
      <c r="R218" s="2">
        <v>150.6</v>
      </c>
      <c r="S218" s="2">
        <v>145.1</v>
      </c>
      <c r="T218" s="2">
        <v>149.9</v>
      </c>
      <c r="U218" s="1" t="s">
        <v>32</v>
      </c>
      <c r="V218" s="2">
        <v>146.19999999999999</v>
      </c>
      <c r="W218" s="2">
        <v>150.1</v>
      </c>
      <c r="X218" s="2">
        <v>149.6</v>
      </c>
      <c r="Y218" s="2">
        <v>128.6</v>
      </c>
      <c r="Z218" s="2">
        <v>142.9</v>
      </c>
      <c r="AA218" s="2">
        <v>155.19999999999999</v>
      </c>
      <c r="AB218" s="2">
        <v>133.5</v>
      </c>
      <c r="AC218" s="2">
        <v>141.69999999999999</v>
      </c>
      <c r="AD218" s="2">
        <v>141</v>
      </c>
    </row>
    <row r="219" spans="1:30" ht="15" thickBot="1" x14ac:dyDescent="0.4">
      <c r="A219" s="1" t="s">
        <v>33</v>
      </c>
      <c r="B219" s="2">
        <v>2019</v>
      </c>
      <c r="C219" s="1" t="s">
        <v>31</v>
      </c>
      <c r="D219" s="2">
        <v>138.30000000000001</v>
      </c>
      <c r="E219" s="2">
        <v>149.4</v>
      </c>
      <c r="F219" s="2">
        <v>143.5</v>
      </c>
      <c r="G219" s="2">
        <v>141.69999999999999</v>
      </c>
      <c r="H219" s="2">
        <v>118.1</v>
      </c>
      <c r="I219" s="2">
        <v>135.19999999999999</v>
      </c>
      <c r="J219" s="2">
        <v>130.5</v>
      </c>
      <c r="K219" s="2">
        <v>118.2</v>
      </c>
      <c r="L219" s="2">
        <v>110.4</v>
      </c>
      <c r="M219" s="2">
        <v>140.4</v>
      </c>
      <c r="N219" s="2">
        <v>128.1</v>
      </c>
      <c r="O219" s="2">
        <v>153.19999999999999</v>
      </c>
      <c r="P219" s="2">
        <v>137.30000000000001</v>
      </c>
      <c r="Q219" s="2">
        <v>164.7</v>
      </c>
      <c r="R219" s="2">
        <v>143</v>
      </c>
      <c r="S219" s="2">
        <v>130.4</v>
      </c>
      <c r="T219" s="2">
        <v>141.1</v>
      </c>
      <c r="U219" s="2">
        <v>147.69999999999999</v>
      </c>
      <c r="V219" s="2">
        <v>128.6</v>
      </c>
      <c r="W219" s="2">
        <v>136.30000000000001</v>
      </c>
      <c r="X219" s="2">
        <v>137.80000000000001</v>
      </c>
      <c r="Y219" s="2">
        <v>118.6</v>
      </c>
      <c r="Z219" s="2">
        <v>131.9</v>
      </c>
      <c r="AA219" s="2">
        <v>146.6</v>
      </c>
      <c r="AB219" s="2">
        <v>131.69999999999999</v>
      </c>
      <c r="AC219" s="2">
        <v>131.80000000000001</v>
      </c>
      <c r="AD219" s="2">
        <v>138</v>
      </c>
    </row>
    <row r="220" spans="1:30" ht="26.5" thickBot="1" x14ac:dyDescent="0.4">
      <c r="A220" s="1" t="s">
        <v>34</v>
      </c>
      <c r="B220" s="2">
        <v>2019</v>
      </c>
      <c r="C220" s="1" t="s">
        <v>31</v>
      </c>
      <c r="D220" s="2">
        <v>137.1</v>
      </c>
      <c r="E220" s="2">
        <v>151.4</v>
      </c>
      <c r="F220" s="2">
        <v>140.19999999999999</v>
      </c>
      <c r="G220" s="2">
        <v>142.1</v>
      </c>
      <c r="H220" s="2">
        <v>121.8</v>
      </c>
      <c r="I220" s="2">
        <v>135.4</v>
      </c>
      <c r="J220" s="2">
        <v>131.30000000000001</v>
      </c>
      <c r="K220" s="2">
        <v>120.3</v>
      </c>
      <c r="L220" s="2">
        <v>109.1</v>
      </c>
      <c r="M220" s="2">
        <v>139.4</v>
      </c>
      <c r="N220" s="2">
        <v>133.30000000000001</v>
      </c>
      <c r="O220" s="2">
        <v>154.6</v>
      </c>
      <c r="P220" s="2">
        <v>137.4</v>
      </c>
      <c r="Q220" s="2">
        <v>163.19999999999999</v>
      </c>
      <c r="R220" s="2">
        <v>147.6</v>
      </c>
      <c r="S220" s="2">
        <v>139</v>
      </c>
      <c r="T220" s="2">
        <v>146.4</v>
      </c>
      <c r="U220" s="2">
        <v>147.69999999999999</v>
      </c>
      <c r="V220" s="2">
        <v>139.5</v>
      </c>
      <c r="W220" s="2">
        <v>143.6</v>
      </c>
      <c r="X220" s="2">
        <v>145.1</v>
      </c>
      <c r="Y220" s="2">
        <v>123.3</v>
      </c>
      <c r="Z220" s="2">
        <v>136.69999999999999</v>
      </c>
      <c r="AA220" s="2">
        <v>150.19999999999999</v>
      </c>
      <c r="AB220" s="2">
        <v>132.80000000000001</v>
      </c>
      <c r="AC220" s="2">
        <v>136.9</v>
      </c>
      <c r="AD220" s="2">
        <v>139.6</v>
      </c>
    </row>
    <row r="221" spans="1:30" ht="15" thickBot="1" x14ac:dyDescent="0.4">
      <c r="A221" s="1" t="s">
        <v>30</v>
      </c>
      <c r="B221" s="2">
        <v>2019</v>
      </c>
      <c r="C221" s="1" t="s">
        <v>35</v>
      </c>
      <c r="D221" s="2">
        <v>136.80000000000001</v>
      </c>
      <c r="E221" s="2">
        <v>153</v>
      </c>
      <c r="F221" s="2">
        <v>139.1</v>
      </c>
      <c r="G221" s="2">
        <v>142.5</v>
      </c>
      <c r="H221" s="2">
        <v>124.1</v>
      </c>
      <c r="I221" s="2">
        <v>135.80000000000001</v>
      </c>
      <c r="J221" s="2">
        <v>128.69999999999999</v>
      </c>
      <c r="K221" s="2">
        <v>121.5</v>
      </c>
      <c r="L221" s="2">
        <v>108.3</v>
      </c>
      <c r="M221" s="2">
        <v>139.19999999999999</v>
      </c>
      <c r="N221" s="2">
        <v>137.4</v>
      </c>
      <c r="O221" s="2">
        <v>156.19999999999999</v>
      </c>
      <c r="P221" s="2">
        <v>137.19999999999999</v>
      </c>
      <c r="Q221" s="2">
        <v>162.80000000000001</v>
      </c>
      <c r="R221" s="2">
        <v>150.5</v>
      </c>
      <c r="S221" s="2">
        <v>146.1</v>
      </c>
      <c r="T221" s="2">
        <v>149.9</v>
      </c>
      <c r="U221" s="1" t="s">
        <v>32</v>
      </c>
      <c r="V221" s="2">
        <v>145.30000000000001</v>
      </c>
      <c r="W221" s="2">
        <v>150.1</v>
      </c>
      <c r="X221" s="2">
        <v>149.9</v>
      </c>
      <c r="Y221" s="2">
        <v>129.19999999999999</v>
      </c>
      <c r="Z221" s="2">
        <v>143.4</v>
      </c>
      <c r="AA221" s="2">
        <v>155.5</v>
      </c>
      <c r="AB221" s="2">
        <v>134.9</v>
      </c>
      <c r="AC221" s="2">
        <v>142.19999999999999</v>
      </c>
      <c r="AD221" s="2">
        <v>141</v>
      </c>
    </row>
    <row r="222" spans="1:30" ht="15" thickBot="1" x14ac:dyDescent="0.4">
      <c r="A222" s="1" t="s">
        <v>33</v>
      </c>
      <c r="B222" s="2">
        <v>2019</v>
      </c>
      <c r="C222" s="1" t="s">
        <v>35</v>
      </c>
      <c r="D222" s="2">
        <v>139.4</v>
      </c>
      <c r="E222" s="2">
        <v>150.1</v>
      </c>
      <c r="F222" s="2">
        <v>145.30000000000001</v>
      </c>
      <c r="G222" s="2">
        <v>141.69999999999999</v>
      </c>
      <c r="H222" s="2">
        <v>118.4</v>
      </c>
      <c r="I222" s="2">
        <v>137</v>
      </c>
      <c r="J222" s="2">
        <v>131.6</v>
      </c>
      <c r="K222" s="2">
        <v>119.9</v>
      </c>
      <c r="L222" s="2">
        <v>110.4</v>
      </c>
      <c r="M222" s="2">
        <v>140.80000000000001</v>
      </c>
      <c r="N222" s="2">
        <v>128.30000000000001</v>
      </c>
      <c r="O222" s="2">
        <v>153.5</v>
      </c>
      <c r="P222" s="2">
        <v>138</v>
      </c>
      <c r="Q222" s="2">
        <v>164.9</v>
      </c>
      <c r="R222" s="2">
        <v>143.30000000000001</v>
      </c>
      <c r="S222" s="2">
        <v>130.80000000000001</v>
      </c>
      <c r="T222" s="2">
        <v>141.4</v>
      </c>
      <c r="U222" s="2">
        <v>148.5</v>
      </c>
      <c r="V222" s="2">
        <v>127.1</v>
      </c>
      <c r="W222" s="2">
        <v>136.6</v>
      </c>
      <c r="X222" s="2">
        <v>138.5</v>
      </c>
      <c r="Y222" s="2">
        <v>119.2</v>
      </c>
      <c r="Z222" s="2">
        <v>132.19999999999999</v>
      </c>
      <c r="AA222" s="2">
        <v>146.6</v>
      </c>
      <c r="AB222" s="2">
        <v>133</v>
      </c>
      <c r="AC222" s="2">
        <v>132.4</v>
      </c>
      <c r="AD222" s="2">
        <v>138.6</v>
      </c>
    </row>
    <row r="223" spans="1:30" ht="26.5" thickBot="1" x14ac:dyDescent="0.4">
      <c r="A223" s="1" t="s">
        <v>34</v>
      </c>
      <c r="B223" s="2">
        <v>2019</v>
      </c>
      <c r="C223" s="1" t="s">
        <v>35</v>
      </c>
      <c r="D223" s="2">
        <v>137.6</v>
      </c>
      <c r="E223" s="2">
        <v>152</v>
      </c>
      <c r="F223" s="2">
        <v>141.5</v>
      </c>
      <c r="G223" s="2">
        <v>142.19999999999999</v>
      </c>
      <c r="H223" s="2">
        <v>122</v>
      </c>
      <c r="I223" s="2">
        <v>136.4</v>
      </c>
      <c r="J223" s="2">
        <v>129.69999999999999</v>
      </c>
      <c r="K223" s="2">
        <v>121</v>
      </c>
      <c r="L223" s="2">
        <v>109</v>
      </c>
      <c r="M223" s="2">
        <v>139.69999999999999</v>
      </c>
      <c r="N223" s="2">
        <v>133.6</v>
      </c>
      <c r="O223" s="2">
        <v>154.9</v>
      </c>
      <c r="P223" s="2">
        <v>137.5</v>
      </c>
      <c r="Q223" s="2">
        <v>163.4</v>
      </c>
      <c r="R223" s="2">
        <v>147.69999999999999</v>
      </c>
      <c r="S223" s="2">
        <v>139.69999999999999</v>
      </c>
      <c r="T223" s="2">
        <v>146.5</v>
      </c>
      <c r="U223" s="2">
        <v>148.5</v>
      </c>
      <c r="V223" s="2">
        <v>138.4</v>
      </c>
      <c r="W223" s="2">
        <v>143.69999999999999</v>
      </c>
      <c r="X223" s="2">
        <v>145.6</v>
      </c>
      <c r="Y223" s="2">
        <v>123.9</v>
      </c>
      <c r="Z223" s="2">
        <v>137.1</v>
      </c>
      <c r="AA223" s="2">
        <v>150.30000000000001</v>
      </c>
      <c r="AB223" s="2">
        <v>134.1</v>
      </c>
      <c r="AC223" s="2">
        <v>137.4</v>
      </c>
      <c r="AD223" s="2">
        <v>139.9</v>
      </c>
    </row>
    <row r="224" spans="1:30" ht="15" thickBot="1" x14ac:dyDescent="0.4">
      <c r="A224" s="1" t="s">
        <v>30</v>
      </c>
      <c r="B224" s="2">
        <v>2019</v>
      </c>
      <c r="C224" s="1" t="s">
        <v>36</v>
      </c>
      <c r="D224" s="2">
        <v>136.9</v>
      </c>
      <c r="E224" s="2">
        <v>154.1</v>
      </c>
      <c r="F224" s="2">
        <v>138.69999999999999</v>
      </c>
      <c r="G224" s="2">
        <v>142.5</v>
      </c>
      <c r="H224" s="2">
        <v>124.1</v>
      </c>
      <c r="I224" s="2">
        <v>136.1</v>
      </c>
      <c r="J224" s="2">
        <v>128.19999999999999</v>
      </c>
      <c r="K224" s="2">
        <v>122.3</v>
      </c>
      <c r="L224" s="2">
        <v>108.3</v>
      </c>
      <c r="M224" s="2">
        <v>138.9</v>
      </c>
      <c r="N224" s="2">
        <v>137.4</v>
      </c>
      <c r="O224" s="2">
        <v>156.4</v>
      </c>
      <c r="P224" s="2">
        <v>137.30000000000001</v>
      </c>
      <c r="Q224" s="2">
        <v>162.9</v>
      </c>
      <c r="R224" s="2">
        <v>150.80000000000001</v>
      </c>
      <c r="S224" s="2">
        <v>146.1</v>
      </c>
      <c r="T224" s="2">
        <v>150.1</v>
      </c>
      <c r="U224" s="1" t="s">
        <v>32</v>
      </c>
      <c r="V224" s="2">
        <v>146.4</v>
      </c>
      <c r="W224" s="2">
        <v>150</v>
      </c>
      <c r="X224" s="2">
        <v>150.4</v>
      </c>
      <c r="Y224" s="2">
        <v>129.9</v>
      </c>
      <c r="Z224" s="2">
        <v>143.80000000000001</v>
      </c>
      <c r="AA224" s="2">
        <v>155.5</v>
      </c>
      <c r="AB224" s="2">
        <v>134</v>
      </c>
      <c r="AC224" s="2">
        <v>142.4</v>
      </c>
      <c r="AD224" s="2">
        <v>141.19999999999999</v>
      </c>
    </row>
    <row r="225" spans="1:30" ht="15" thickBot="1" x14ac:dyDescent="0.4">
      <c r="A225" s="1" t="s">
        <v>33</v>
      </c>
      <c r="B225" s="2">
        <v>2019</v>
      </c>
      <c r="C225" s="1" t="s">
        <v>36</v>
      </c>
      <c r="D225" s="2">
        <v>139.69999999999999</v>
      </c>
      <c r="E225" s="2">
        <v>151.1</v>
      </c>
      <c r="F225" s="2">
        <v>142.9</v>
      </c>
      <c r="G225" s="2">
        <v>141.9</v>
      </c>
      <c r="H225" s="2">
        <v>118.4</v>
      </c>
      <c r="I225" s="2">
        <v>139.4</v>
      </c>
      <c r="J225" s="2">
        <v>141.19999999999999</v>
      </c>
      <c r="K225" s="2">
        <v>120.7</v>
      </c>
      <c r="L225" s="2">
        <v>110.4</v>
      </c>
      <c r="M225" s="2">
        <v>140.69999999999999</v>
      </c>
      <c r="N225" s="2">
        <v>128.5</v>
      </c>
      <c r="O225" s="2">
        <v>153.9</v>
      </c>
      <c r="P225" s="2">
        <v>139.6</v>
      </c>
      <c r="Q225" s="2">
        <v>165.3</v>
      </c>
      <c r="R225" s="2">
        <v>143.5</v>
      </c>
      <c r="S225" s="2">
        <v>131.19999999999999</v>
      </c>
      <c r="T225" s="2">
        <v>141.6</v>
      </c>
      <c r="U225" s="2">
        <v>149</v>
      </c>
      <c r="V225" s="2">
        <v>128.80000000000001</v>
      </c>
      <c r="W225" s="2">
        <v>136.80000000000001</v>
      </c>
      <c r="X225" s="2">
        <v>139.19999999999999</v>
      </c>
      <c r="Y225" s="2">
        <v>119.9</v>
      </c>
      <c r="Z225" s="2">
        <v>133</v>
      </c>
      <c r="AA225" s="2">
        <v>146.69999999999999</v>
      </c>
      <c r="AB225" s="2">
        <v>132.5</v>
      </c>
      <c r="AC225" s="2">
        <v>132.80000000000001</v>
      </c>
      <c r="AD225" s="2">
        <v>139.5</v>
      </c>
    </row>
    <row r="226" spans="1:30" ht="26.5" thickBot="1" x14ac:dyDescent="0.4">
      <c r="A226" s="1" t="s">
        <v>34</v>
      </c>
      <c r="B226" s="2">
        <v>2019</v>
      </c>
      <c r="C226" s="1" t="s">
        <v>36</v>
      </c>
      <c r="D226" s="2">
        <v>137.80000000000001</v>
      </c>
      <c r="E226" s="2">
        <v>153</v>
      </c>
      <c r="F226" s="2">
        <v>140.30000000000001</v>
      </c>
      <c r="G226" s="2">
        <v>142.30000000000001</v>
      </c>
      <c r="H226" s="2">
        <v>122</v>
      </c>
      <c r="I226" s="2">
        <v>137.6</v>
      </c>
      <c r="J226" s="2">
        <v>132.6</v>
      </c>
      <c r="K226" s="2">
        <v>121.8</v>
      </c>
      <c r="L226" s="2">
        <v>109</v>
      </c>
      <c r="M226" s="2">
        <v>139.5</v>
      </c>
      <c r="N226" s="2">
        <v>133.69999999999999</v>
      </c>
      <c r="O226" s="2">
        <v>155.19999999999999</v>
      </c>
      <c r="P226" s="2">
        <v>138.1</v>
      </c>
      <c r="Q226" s="2">
        <v>163.5</v>
      </c>
      <c r="R226" s="2">
        <v>147.9</v>
      </c>
      <c r="S226" s="2">
        <v>139.9</v>
      </c>
      <c r="T226" s="2">
        <v>146.69999999999999</v>
      </c>
      <c r="U226" s="2">
        <v>149</v>
      </c>
      <c r="V226" s="2">
        <v>139.69999999999999</v>
      </c>
      <c r="W226" s="2">
        <v>143.80000000000001</v>
      </c>
      <c r="X226" s="2">
        <v>146.19999999999999</v>
      </c>
      <c r="Y226" s="2">
        <v>124.6</v>
      </c>
      <c r="Z226" s="2">
        <v>137.69999999999999</v>
      </c>
      <c r="AA226" s="2">
        <v>150.30000000000001</v>
      </c>
      <c r="AB226" s="2">
        <v>133.4</v>
      </c>
      <c r="AC226" s="2">
        <v>137.69999999999999</v>
      </c>
      <c r="AD226" s="2">
        <v>140.4</v>
      </c>
    </row>
    <row r="227" spans="1:30" ht="15" thickBot="1" x14ac:dyDescent="0.4">
      <c r="A227" s="1" t="s">
        <v>30</v>
      </c>
      <c r="B227" s="2">
        <v>2019</v>
      </c>
      <c r="C227" s="1" t="s">
        <v>38</v>
      </c>
      <c r="D227" s="2">
        <v>137.4</v>
      </c>
      <c r="E227" s="2">
        <v>159.5</v>
      </c>
      <c r="F227" s="2">
        <v>134.5</v>
      </c>
      <c r="G227" s="2">
        <v>142.6</v>
      </c>
      <c r="H227" s="2">
        <v>124</v>
      </c>
      <c r="I227" s="2">
        <v>143.69999999999999</v>
      </c>
      <c r="J227" s="2">
        <v>133.4</v>
      </c>
      <c r="K227" s="2">
        <v>125.1</v>
      </c>
      <c r="L227" s="2">
        <v>109.3</v>
      </c>
      <c r="M227" s="2">
        <v>139.30000000000001</v>
      </c>
      <c r="N227" s="2">
        <v>137.69999999999999</v>
      </c>
      <c r="O227" s="2">
        <v>156.4</v>
      </c>
      <c r="P227" s="2">
        <v>139.19999999999999</v>
      </c>
      <c r="Q227" s="2">
        <v>163.30000000000001</v>
      </c>
      <c r="R227" s="2">
        <v>151.30000000000001</v>
      </c>
      <c r="S227" s="2">
        <v>146.6</v>
      </c>
      <c r="T227" s="2">
        <v>150.69999999999999</v>
      </c>
      <c r="U227" s="1" t="s">
        <v>32</v>
      </c>
      <c r="V227" s="2">
        <v>146.9</v>
      </c>
      <c r="W227" s="2">
        <v>149.5</v>
      </c>
      <c r="X227" s="2">
        <v>151.30000000000001</v>
      </c>
      <c r="Y227" s="2">
        <v>130.19999999999999</v>
      </c>
      <c r="Z227" s="2">
        <v>145.9</v>
      </c>
      <c r="AA227" s="2">
        <v>156.69999999999999</v>
      </c>
      <c r="AB227" s="2">
        <v>133.9</v>
      </c>
      <c r="AC227" s="2">
        <v>142.9</v>
      </c>
      <c r="AD227" s="2">
        <v>142.4</v>
      </c>
    </row>
    <row r="228" spans="1:30" ht="15" thickBot="1" x14ac:dyDescent="0.4">
      <c r="A228" s="1" t="s">
        <v>33</v>
      </c>
      <c r="B228" s="2">
        <v>2019</v>
      </c>
      <c r="C228" s="1" t="s">
        <v>38</v>
      </c>
      <c r="D228" s="2">
        <v>140.4</v>
      </c>
      <c r="E228" s="2">
        <v>156.69999999999999</v>
      </c>
      <c r="F228" s="2">
        <v>138.30000000000001</v>
      </c>
      <c r="G228" s="2">
        <v>142.4</v>
      </c>
      <c r="H228" s="2">
        <v>118.6</v>
      </c>
      <c r="I228" s="2">
        <v>149.69999999999999</v>
      </c>
      <c r="J228" s="2">
        <v>161.6</v>
      </c>
      <c r="K228" s="2">
        <v>124.4</v>
      </c>
      <c r="L228" s="2">
        <v>111.2</v>
      </c>
      <c r="M228" s="2">
        <v>141</v>
      </c>
      <c r="N228" s="2">
        <v>128.9</v>
      </c>
      <c r="O228" s="2">
        <v>154.5</v>
      </c>
      <c r="P228" s="2">
        <v>143.80000000000001</v>
      </c>
      <c r="Q228" s="2">
        <v>166.2</v>
      </c>
      <c r="R228" s="2">
        <v>144</v>
      </c>
      <c r="S228" s="2">
        <v>131.69999999999999</v>
      </c>
      <c r="T228" s="2">
        <v>142.19999999999999</v>
      </c>
      <c r="U228" s="2">
        <v>150.1</v>
      </c>
      <c r="V228" s="2">
        <v>129.4</v>
      </c>
      <c r="W228" s="2">
        <v>137.19999999999999</v>
      </c>
      <c r="X228" s="2">
        <v>139.80000000000001</v>
      </c>
      <c r="Y228" s="2">
        <v>120.1</v>
      </c>
      <c r="Z228" s="2">
        <v>134</v>
      </c>
      <c r="AA228" s="2">
        <v>148</v>
      </c>
      <c r="AB228" s="2">
        <v>132.6</v>
      </c>
      <c r="AC228" s="2">
        <v>133.30000000000001</v>
      </c>
      <c r="AD228" s="2">
        <v>141.5</v>
      </c>
    </row>
    <row r="229" spans="1:30" ht="26.5" thickBot="1" x14ac:dyDescent="0.4">
      <c r="A229" s="1" t="s">
        <v>34</v>
      </c>
      <c r="B229" s="2">
        <v>2019</v>
      </c>
      <c r="C229" s="1" t="s">
        <v>38</v>
      </c>
      <c r="D229" s="2">
        <v>138.30000000000001</v>
      </c>
      <c r="E229" s="2">
        <v>158.5</v>
      </c>
      <c r="F229" s="2">
        <v>136</v>
      </c>
      <c r="G229" s="2">
        <v>142.5</v>
      </c>
      <c r="H229" s="2">
        <v>122</v>
      </c>
      <c r="I229" s="2">
        <v>146.5</v>
      </c>
      <c r="J229" s="2">
        <v>143</v>
      </c>
      <c r="K229" s="2">
        <v>124.9</v>
      </c>
      <c r="L229" s="2">
        <v>109.9</v>
      </c>
      <c r="M229" s="2">
        <v>139.9</v>
      </c>
      <c r="N229" s="2">
        <v>134</v>
      </c>
      <c r="O229" s="2">
        <v>155.5</v>
      </c>
      <c r="P229" s="2">
        <v>140.9</v>
      </c>
      <c r="Q229" s="2">
        <v>164.1</v>
      </c>
      <c r="R229" s="2">
        <v>148.4</v>
      </c>
      <c r="S229" s="2">
        <v>140.4</v>
      </c>
      <c r="T229" s="2">
        <v>147.30000000000001</v>
      </c>
      <c r="U229" s="2">
        <v>150.1</v>
      </c>
      <c r="V229" s="2">
        <v>140.30000000000001</v>
      </c>
      <c r="W229" s="2">
        <v>143.69999999999999</v>
      </c>
      <c r="X229" s="2">
        <v>146.9</v>
      </c>
      <c r="Y229" s="2">
        <v>124.9</v>
      </c>
      <c r="Z229" s="2">
        <v>139.19999999999999</v>
      </c>
      <c r="AA229" s="2">
        <v>151.6</v>
      </c>
      <c r="AB229" s="2">
        <v>133.4</v>
      </c>
      <c r="AC229" s="2">
        <v>138.19999999999999</v>
      </c>
      <c r="AD229" s="2">
        <v>142</v>
      </c>
    </row>
    <row r="230" spans="1:30" ht="15" thickBot="1" x14ac:dyDescent="0.4">
      <c r="A230" s="1" t="s">
        <v>30</v>
      </c>
      <c r="B230" s="2">
        <v>2019</v>
      </c>
      <c r="C230" s="1" t="s">
        <v>39</v>
      </c>
      <c r="D230" s="2">
        <v>137.80000000000001</v>
      </c>
      <c r="E230" s="2">
        <v>163.5</v>
      </c>
      <c r="F230" s="2">
        <v>136.19999999999999</v>
      </c>
      <c r="G230" s="2">
        <v>143.19999999999999</v>
      </c>
      <c r="H230" s="2">
        <v>124.3</v>
      </c>
      <c r="I230" s="2">
        <v>143.30000000000001</v>
      </c>
      <c r="J230" s="2">
        <v>140.6</v>
      </c>
      <c r="K230" s="2">
        <v>128.69999999999999</v>
      </c>
      <c r="L230" s="2">
        <v>110.6</v>
      </c>
      <c r="M230" s="2">
        <v>140.4</v>
      </c>
      <c r="N230" s="2">
        <v>138</v>
      </c>
      <c r="O230" s="2">
        <v>156.6</v>
      </c>
      <c r="P230" s="2">
        <v>141</v>
      </c>
      <c r="Q230" s="2">
        <v>164.2</v>
      </c>
      <c r="R230" s="2">
        <v>151.4</v>
      </c>
      <c r="S230" s="2">
        <v>146.5</v>
      </c>
      <c r="T230" s="2">
        <v>150.69999999999999</v>
      </c>
      <c r="U230" s="1" t="s">
        <v>32</v>
      </c>
      <c r="V230" s="2">
        <v>147.80000000000001</v>
      </c>
      <c r="W230" s="2">
        <v>149.6</v>
      </c>
      <c r="X230" s="2">
        <v>151.69999999999999</v>
      </c>
      <c r="Y230" s="2">
        <v>130.19999999999999</v>
      </c>
      <c r="Z230" s="2">
        <v>146.4</v>
      </c>
      <c r="AA230" s="2">
        <v>157.69999999999999</v>
      </c>
      <c r="AB230" s="2">
        <v>134.80000000000001</v>
      </c>
      <c r="AC230" s="2">
        <v>143.30000000000001</v>
      </c>
      <c r="AD230" s="2">
        <v>143.6</v>
      </c>
    </row>
    <row r="231" spans="1:30" ht="15" thickBot="1" x14ac:dyDescent="0.4">
      <c r="A231" s="1" t="s">
        <v>33</v>
      </c>
      <c r="B231" s="2">
        <v>2019</v>
      </c>
      <c r="C231" s="1" t="s">
        <v>39</v>
      </c>
      <c r="D231" s="2">
        <v>140.69999999999999</v>
      </c>
      <c r="E231" s="2">
        <v>159.6</v>
      </c>
      <c r="F231" s="2">
        <v>140.4</v>
      </c>
      <c r="G231" s="2">
        <v>143.4</v>
      </c>
      <c r="H231" s="2">
        <v>118.6</v>
      </c>
      <c r="I231" s="2">
        <v>150.9</v>
      </c>
      <c r="J231" s="2">
        <v>169.8</v>
      </c>
      <c r="K231" s="2">
        <v>127.4</v>
      </c>
      <c r="L231" s="2">
        <v>111.8</v>
      </c>
      <c r="M231" s="2">
        <v>141</v>
      </c>
      <c r="N231" s="2">
        <v>129</v>
      </c>
      <c r="O231" s="2">
        <v>155.1</v>
      </c>
      <c r="P231" s="2">
        <v>145.6</v>
      </c>
      <c r="Q231" s="2">
        <v>166.7</v>
      </c>
      <c r="R231" s="2">
        <v>144.30000000000001</v>
      </c>
      <c r="S231" s="2">
        <v>131.69999999999999</v>
      </c>
      <c r="T231" s="2">
        <v>142.4</v>
      </c>
      <c r="U231" s="2">
        <v>149.4</v>
      </c>
      <c r="V231" s="2">
        <v>130.5</v>
      </c>
      <c r="W231" s="2">
        <v>137.4</v>
      </c>
      <c r="X231" s="2">
        <v>140.30000000000001</v>
      </c>
      <c r="Y231" s="2">
        <v>119.6</v>
      </c>
      <c r="Z231" s="2">
        <v>134.30000000000001</v>
      </c>
      <c r="AA231" s="2">
        <v>148.9</v>
      </c>
      <c r="AB231" s="2">
        <v>133.69999999999999</v>
      </c>
      <c r="AC231" s="2">
        <v>133.6</v>
      </c>
      <c r="AD231" s="2">
        <v>142.1</v>
      </c>
    </row>
    <row r="232" spans="1:30" ht="26.5" thickBot="1" x14ac:dyDescent="0.4">
      <c r="A232" s="1" t="s">
        <v>34</v>
      </c>
      <c r="B232" s="2">
        <v>2019</v>
      </c>
      <c r="C232" s="1" t="s">
        <v>39</v>
      </c>
      <c r="D232" s="2">
        <v>138.69999999999999</v>
      </c>
      <c r="E232" s="2">
        <v>162.1</v>
      </c>
      <c r="F232" s="2">
        <v>137.80000000000001</v>
      </c>
      <c r="G232" s="2">
        <v>143.30000000000001</v>
      </c>
      <c r="H232" s="2">
        <v>122.2</v>
      </c>
      <c r="I232" s="2">
        <v>146.80000000000001</v>
      </c>
      <c r="J232" s="2">
        <v>150.5</v>
      </c>
      <c r="K232" s="2">
        <v>128.30000000000001</v>
      </c>
      <c r="L232" s="2">
        <v>111</v>
      </c>
      <c r="M232" s="2">
        <v>140.6</v>
      </c>
      <c r="N232" s="2">
        <v>134.19999999999999</v>
      </c>
      <c r="O232" s="2">
        <v>155.9</v>
      </c>
      <c r="P232" s="2">
        <v>142.69999999999999</v>
      </c>
      <c r="Q232" s="2">
        <v>164.9</v>
      </c>
      <c r="R232" s="2">
        <v>148.6</v>
      </c>
      <c r="S232" s="2">
        <v>140.4</v>
      </c>
      <c r="T232" s="2">
        <v>147.4</v>
      </c>
      <c r="U232" s="2">
        <v>149.4</v>
      </c>
      <c r="V232" s="2">
        <v>141.19999999999999</v>
      </c>
      <c r="W232" s="2">
        <v>143.80000000000001</v>
      </c>
      <c r="X232" s="2">
        <v>147.4</v>
      </c>
      <c r="Y232" s="2">
        <v>124.6</v>
      </c>
      <c r="Z232" s="2">
        <v>139.6</v>
      </c>
      <c r="AA232" s="2">
        <v>152.5</v>
      </c>
      <c r="AB232" s="2">
        <v>134.30000000000001</v>
      </c>
      <c r="AC232" s="2">
        <v>138.6</v>
      </c>
      <c r="AD232" s="2">
        <v>142.9</v>
      </c>
    </row>
    <row r="233" spans="1:30" ht="15" thickBot="1" x14ac:dyDescent="0.4">
      <c r="A233" s="1" t="s">
        <v>30</v>
      </c>
      <c r="B233" s="2">
        <v>2019</v>
      </c>
      <c r="C233" s="1" t="s">
        <v>40</v>
      </c>
      <c r="D233" s="2">
        <v>138.4</v>
      </c>
      <c r="E233" s="2">
        <v>164</v>
      </c>
      <c r="F233" s="2">
        <v>138.4</v>
      </c>
      <c r="G233" s="2">
        <v>143.9</v>
      </c>
      <c r="H233" s="2">
        <v>124.4</v>
      </c>
      <c r="I233" s="2">
        <v>146.4</v>
      </c>
      <c r="J233" s="2">
        <v>150.1</v>
      </c>
      <c r="K233" s="2">
        <v>130.6</v>
      </c>
      <c r="L233" s="2">
        <v>110.8</v>
      </c>
      <c r="M233" s="2">
        <v>141.69999999999999</v>
      </c>
      <c r="N233" s="2">
        <v>138.5</v>
      </c>
      <c r="O233" s="2">
        <v>156.69999999999999</v>
      </c>
      <c r="P233" s="2">
        <v>143</v>
      </c>
      <c r="Q233" s="2">
        <v>164.5</v>
      </c>
      <c r="R233" s="2">
        <v>151.6</v>
      </c>
      <c r="S233" s="2">
        <v>146.6</v>
      </c>
      <c r="T233" s="2">
        <v>150.9</v>
      </c>
      <c r="U233" s="1" t="s">
        <v>32</v>
      </c>
      <c r="V233" s="2">
        <v>146.80000000000001</v>
      </c>
      <c r="W233" s="2">
        <v>150</v>
      </c>
      <c r="X233" s="2">
        <v>152.19999999999999</v>
      </c>
      <c r="Y233" s="2">
        <v>131.19999999999999</v>
      </c>
      <c r="Z233" s="2">
        <v>147.5</v>
      </c>
      <c r="AA233" s="2">
        <v>159.1</v>
      </c>
      <c r="AB233" s="2">
        <v>136.1</v>
      </c>
      <c r="AC233" s="2">
        <v>144.19999999999999</v>
      </c>
      <c r="AD233" s="2">
        <v>144.9</v>
      </c>
    </row>
    <row r="234" spans="1:30" ht="15" thickBot="1" x14ac:dyDescent="0.4">
      <c r="A234" s="1" t="s">
        <v>33</v>
      </c>
      <c r="B234" s="2">
        <v>2019</v>
      </c>
      <c r="C234" s="1" t="s">
        <v>40</v>
      </c>
      <c r="D234" s="2">
        <v>141.4</v>
      </c>
      <c r="E234" s="2">
        <v>160.19999999999999</v>
      </c>
      <c r="F234" s="2">
        <v>142.5</v>
      </c>
      <c r="G234" s="2">
        <v>144.1</v>
      </c>
      <c r="H234" s="2">
        <v>119.3</v>
      </c>
      <c r="I234" s="2">
        <v>154.69999999999999</v>
      </c>
      <c r="J234" s="2">
        <v>180.1</v>
      </c>
      <c r="K234" s="2">
        <v>128.9</v>
      </c>
      <c r="L234" s="2">
        <v>111.8</v>
      </c>
      <c r="M234" s="2">
        <v>141.6</v>
      </c>
      <c r="N234" s="2">
        <v>129.5</v>
      </c>
      <c r="O234" s="2">
        <v>155.6</v>
      </c>
      <c r="P234" s="2">
        <v>147.69999999999999</v>
      </c>
      <c r="Q234" s="2">
        <v>167.2</v>
      </c>
      <c r="R234" s="2">
        <v>144.69999999999999</v>
      </c>
      <c r="S234" s="2">
        <v>131.9</v>
      </c>
      <c r="T234" s="2">
        <v>142.69999999999999</v>
      </c>
      <c r="U234" s="2">
        <v>150.6</v>
      </c>
      <c r="V234" s="2">
        <v>127</v>
      </c>
      <c r="W234" s="2">
        <v>137.69999999999999</v>
      </c>
      <c r="X234" s="2">
        <v>140.80000000000001</v>
      </c>
      <c r="Y234" s="2">
        <v>120.6</v>
      </c>
      <c r="Z234" s="2">
        <v>135</v>
      </c>
      <c r="AA234" s="2">
        <v>150.4</v>
      </c>
      <c r="AB234" s="2">
        <v>135.1</v>
      </c>
      <c r="AC234" s="2">
        <v>134.5</v>
      </c>
      <c r="AD234" s="2">
        <v>143.30000000000001</v>
      </c>
    </row>
    <row r="235" spans="1:30" ht="26.5" thickBot="1" x14ac:dyDescent="0.4">
      <c r="A235" s="1" t="s">
        <v>34</v>
      </c>
      <c r="B235" s="2">
        <v>2019</v>
      </c>
      <c r="C235" s="1" t="s">
        <v>40</v>
      </c>
      <c r="D235" s="2">
        <v>139.30000000000001</v>
      </c>
      <c r="E235" s="2">
        <v>162.69999999999999</v>
      </c>
      <c r="F235" s="2">
        <v>140</v>
      </c>
      <c r="G235" s="2">
        <v>144</v>
      </c>
      <c r="H235" s="2">
        <v>122.5</v>
      </c>
      <c r="I235" s="2">
        <v>150.30000000000001</v>
      </c>
      <c r="J235" s="2">
        <v>160.30000000000001</v>
      </c>
      <c r="K235" s="2">
        <v>130</v>
      </c>
      <c r="L235" s="2">
        <v>111.1</v>
      </c>
      <c r="M235" s="2">
        <v>141.69999999999999</v>
      </c>
      <c r="N235" s="2">
        <v>134.69999999999999</v>
      </c>
      <c r="O235" s="2">
        <v>156.19999999999999</v>
      </c>
      <c r="P235" s="2">
        <v>144.69999999999999</v>
      </c>
      <c r="Q235" s="2">
        <v>165.2</v>
      </c>
      <c r="R235" s="2">
        <v>148.9</v>
      </c>
      <c r="S235" s="2">
        <v>140.5</v>
      </c>
      <c r="T235" s="2">
        <v>147.6</v>
      </c>
      <c r="U235" s="2">
        <v>150.6</v>
      </c>
      <c r="V235" s="2">
        <v>139.30000000000001</v>
      </c>
      <c r="W235" s="2">
        <v>144.19999999999999</v>
      </c>
      <c r="X235" s="2">
        <v>147.9</v>
      </c>
      <c r="Y235" s="2">
        <v>125.6</v>
      </c>
      <c r="Z235" s="2">
        <v>140.5</v>
      </c>
      <c r="AA235" s="2">
        <v>154</v>
      </c>
      <c r="AB235" s="2">
        <v>135.69999999999999</v>
      </c>
      <c r="AC235" s="2">
        <v>139.5</v>
      </c>
      <c r="AD235" s="2">
        <v>144.19999999999999</v>
      </c>
    </row>
    <row r="236" spans="1:30" ht="15" thickBot="1" x14ac:dyDescent="0.4">
      <c r="A236" s="1" t="s">
        <v>30</v>
      </c>
      <c r="B236" s="2">
        <v>2019</v>
      </c>
      <c r="C236" s="1" t="s">
        <v>41</v>
      </c>
      <c r="D236" s="2">
        <v>139.19999999999999</v>
      </c>
      <c r="E236" s="2">
        <v>161.9</v>
      </c>
      <c r="F236" s="2">
        <v>137.1</v>
      </c>
      <c r="G236" s="2">
        <v>144.6</v>
      </c>
      <c r="H236" s="2">
        <v>124.7</v>
      </c>
      <c r="I236" s="2">
        <v>145.5</v>
      </c>
      <c r="J236" s="2">
        <v>156.19999999999999</v>
      </c>
      <c r="K236" s="2">
        <v>131.5</v>
      </c>
      <c r="L236" s="2">
        <v>111.7</v>
      </c>
      <c r="M236" s="2">
        <v>142.69999999999999</v>
      </c>
      <c r="N236" s="2">
        <v>138.5</v>
      </c>
      <c r="O236" s="2">
        <v>156.9</v>
      </c>
      <c r="P236" s="2">
        <v>144</v>
      </c>
      <c r="Q236" s="2">
        <v>165.1</v>
      </c>
      <c r="R236" s="2">
        <v>151.80000000000001</v>
      </c>
      <c r="S236" s="2">
        <v>146.6</v>
      </c>
      <c r="T236" s="2">
        <v>151.1</v>
      </c>
      <c r="U236" s="1" t="s">
        <v>32</v>
      </c>
      <c r="V236" s="2">
        <v>146.4</v>
      </c>
      <c r="W236" s="2">
        <v>150.19999999999999</v>
      </c>
      <c r="X236" s="2">
        <v>152.69999999999999</v>
      </c>
      <c r="Y236" s="2">
        <v>131.4</v>
      </c>
      <c r="Z236" s="2">
        <v>148</v>
      </c>
      <c r="AA236" s="2">
        <v>159.69999999999999</v>
      </c>
      <c r="AB236" s="2">
        <v>138.80000000000001</v>
      </c>
      <c r="AC236" s="2">
        <v>144.9</v>
      </c>
      <c r="AD236" s="2">
        <v>145.69999999999999</v>
      </c>
    </row>
    <row r="237" spans="1:30" ht="15" thickBot="1" x14ac:dyDescent="0.4">
      <c r="A237" s="1" t="s">
        <v>33</v>
      </c>
      <c r="B237" s="2">
        <v>2019</v>
      </c>
      <c r="C237" s="1" t="s">
        <v>41</v>
      </c>
      <c r="D237" s="2">
        <v>142.1</v>
      </c>
      <c r="E237" s="2">
        <v>158.30000000000001</v>
      </c>
      <c r="F237" s="2">
        <v>140.80000000000001</v>
      </c>
      <c r="G237" s="2">
        <v>144.9</v>
      </c>
      <c r="H237" s="2">
        <v>119.9</v>
      </c>
      <c r="I237" s="2">
        <v>153.9</v>
      </c>
      <c r="J237" s="2">
        <v>189.1</v>
      </c>
      <c r="K237" s="2">
        <v>129.80000000000001</v>
      </c>
      <c r="L237" s="2">
        <v>112.7</v>
      </c>
      <c r="M237" s="2">
        <v>142.5</v>
      </c>
      <c r="N237" s="2">
        <v>129.80000000000001</v>
      </c>
      <c r="O237" s="2">
        <v>156.19999999999999</v>
      </c>
      <c r="P237" s="2">
        <v>149.1</v>
      </c>
      <c r="Q237" s="2">
        <v>167.9</v>
      </c>
      <c r="R237" s="2">
        <v>145</v>
      </c>
      <c r="S237" s="2">
        <v>132.19999999999999</v>
      </c>
      <c r="T237" s="2">
        <v>143</v>
      </c>
      <c r="U237" s="2">
        <v>151.6</v>
      </c>
      <c r="V237" s="2">
        <v>125.5</v>
      </c>
      <c r="W237" s="2">
        <v>138.1</v>
      </c>
      <c r="X237" s="2">
        <v>141.5</v>
      </c>
      <c r="Y237" s="2">
        <v>120.8</v>
      </c>
      <c r="Z237" s="2">
        <v>135.4</v>
      </c>
      <c r="AA237" s="2">
        <v>151.5</v>
      </c>
      <c r="AB237" s="2">
        <v>137.80000000000001</v>
      </c>
      <c r="AC237" s="2">
        <v>135.30000000000001</v>
      </c>
      <c r="AD237" s="2">
        <v>144.19999999999999</v>
      </c>
    </row>
    <row r="238" spans="1:30" ht="26.5" thickBot="1" x14ac:dyDescent="0.4">
      <c r="A238" s="1" t="s">
        <v>34</v>
      </c>
      <c r="B238" s="2">
        <v>2019</v>
      </c>
      <c r="C238" s="1" t="s">
        <v>41</v>
      </c>
      <c r="D238" s="2">
        <v>140.1</v>
      </c>
      <c r="E238" s="2">
        <v>160.6</v>
      </c>
      <c r="F238" s="2">
        <v>138.5</v>
      </c>
      <c r="G238" s="2">
        <v>144.69999999999999</v>
      </c>
      <c r="H238" s="2">
        <v>122.9</v>
      </c>
      <c r="I238" s="2">
        <v>149.4</v>
      </c>
      <c r="J238" s="2">
        <v>167.4</v>
      </c>
      <c r="K238" s="2">
        <v>130.9</v>
      </c>
      <c r="L238" s="2">
        <v>112</v>
      </c>
      <c r="M238" s="2">
        <v>142.6</v>
      </c>
      <c r="N238" s="2">
        <v>134.9</v>
      </c>
      <c r="O238" s="2">
        <v>156.6</v>
      </c>
      <c r="P238" s="2">
        <v>145.9</v>
      </c>
      <c r="Q238" s="2">
        <v>165.8</v>
      </c>
      <c r="R238" s="2">
        <v>149.1</v>
      </c>
      <c r="S238" s="2">
        <v>140.6</v>
      </c>
      <c r="T238" s="2">
        <v>147.9</v>
      </c>
      <c r="U238" s="2">
        <v>151.6</v>
      </c>
      <c r="V238" s="2">
        <v>138.5</v>
      </c>
      <c r="W238" s="2">
        <v>144.5</v>
      </c>
      <c r="X238" s="2">
        <v>148.5</v>
      </c>
      <c r="Y238" s="2">
        <v>125.8</v>
      </c>
      <c r="Z238" s="2">
        <v>140.9</v>
      </c>
      <c r="AA238" s="2">
        <v>154.9</v>
      </c>
      <c r="AB238" s="2">
        <v>138.4</v>
      </c>
      <c r="AC238" s="2">
        <v>140.19999999999999</v>
      </c>
      <c r="AD238" s="2">
        <v>145</v>
      </c>
    </row>
    <row r="239" spans="1:30" ht="26.5" thickBot="1" x14ac:dyDescent="0.4">
      <c r="A239" s="1" t="s">
        <v>30</v>
      </c>
      <c r="B239" s="2">
        <v>2019</v>
      </c>
      <c r="C239" s="1" t="s">
        <v>42</v>
      </c>
      <c r="D239" s="2">
        <v>140.1</v>
      </c>
      <c r="E239" s="2">
        <v>161.9</v>
      </c>
      <c r="F239" s="2">
        <v>138.30000000000001</v>
      </c>
      <c r="G239" s="2">
        <v>145.69999999999999</v>
      </c>
      <c r="H239" s="2">
        <v>125.1</v>
      </c>
      <c r="I239" s="2">
        <v>143.80000000000001</v>
      </c>
      <c r="J239" s="2">
        <v>163.4</v>
      </c>
      <c r="K239" s="2">
        <v>132.19999999999999</v>
      </c>
      <c r="L239" s="2">
        <v>112.8</v>
      </c>
      <c r="M239" s="2">
        <v>144.19999999999999</v>
      </c>
      <c r="N239" s="2">
        <v>138.5</v>
      </c>
      <c r="O239" s="2">
        <v>157.19999999999999</v>
      </c>
      <c r="P239" s="2">
        <v>145.5</v>
      </c>
      <c r="Q239" s="2">
        <v>165.7</v>
      </c>
      <c r="R239" s="2">
        <v>151.69999999999999</v>
      </c>
      <c r="S239" s="2">
        <v>146.6</v>
      </c>
      <c r="T239" s="2">
        <v>151</v>
      </c>
      <c r="U239" s="1" t="s">
        <v>32</v>
      </c>
      <c r="V239" s="2">
        <v>146.9</v>
      </c>
      <c r="W239" s="2">
        <v>150.30000000000001</v>
      </c>
      <c r="X239" s="2">
        <v>153.4</v>
      </c>
      <c r="Y239" s="2">
        <v>131.6</v>
      </c>
      <c r="Z239" s="2">
        <v>148.30000000000001</v>
      </c>
      <c r="AA239" s="2">
        <v>160.19999999999999</v>
      </c>
      <c r="AB239" s="2">
        <v>140.19999999999999</v>
      </c>
      <c r="AC239" s="2">
        <v>145.4</v>
      </c>
      <c r="AD239" s="2">
        <v>146.69999999999999</v>
      </c>
    </row>
    <row r="240" spans="1:30" ht="26.5" thickBot="1" x14ac:dyDescent="0.4">
      <c r="A240" s="1" t="s">
        <v>33</v>
      </c>
      <c r="B240" s="2">
        <v>2019</v>
      </c>
      <c r="C240" s="1" t="s">
        <v>42</v>
      </c>
      <c r="D240" s="2">
        <v>142.69999999999999</v>
      </c>
      <c r="E240" s="2">
        <v>158.69999999999999</v>
      </c>
      <c r="F240" s="2">
        <v>141.6</v>
      </c>
      <c r="G240" s="2">
        <v>144.9</v>
      </c>
      <c r="H240" s="2">
        <v>120.8</v>
      </c>
      <c r="I240" s="2">
        <v>149.80000000000001</v>
      </c>
      <c r="J240" s="2">
        <v>192.4</v>
      </c>
      <c r="K240" s="2">
        <v>130.30000000000001</v>
      </c>
      <c r="L240" s="2">
        <v>114</v>
      </c>
      <c r="M240" s="2">
        <v>143.80000000000001</v>
      </c>
      <c r="N240" s="2">
        <v>130</v>
      </c>
      <c r="O240" s="2">
        <v>156.4</v>
      </c>
      <c r="P240" s="2">
        <v>149.5</v>
      </c>
      <c r="Q240" s="2">
        <v>168.6</v>
      </c>
      <c r="R240" s="2">
        <v>145.30000000000001</v>
      </c>
      <c r="S240" s="2">
        <v>132.19999999999999</v>
      </c>
      <c r="T240" s="2">
        <v>143.30000000000001</v>
      </c>
      <c r="U240" s="2">
        <v>152.19999999999999</v>
      </c>
      <c r="V240" s="2">
        <v>126.6</v>
      </c>
      <c r="W240" s="2">
        <v>138.30000000000001</v>
      </c>
      <c r="X240" s="2">
        <v>141.9</v>
      </c>
      <c r="Y240" s="2">
        <v>121.2</v>
      </c>
      <c r="Z240" s="2">
        <v>135.9</v>
      </c>
      <c r="AA240" s="2">
        <v>151.6</v>
      </c>
      <c r="AB240" s="2">
        <v>139</v>
      </c>
      <c r="AC240" s="2">
        <v>135.69999999999999</v>
      </c>
      <c r="AD240" s="2">
        <v>144.69999999999999</v>
      </c>
    </row>
    <row r="241" spans="1:30" ht="26.5" thickBot="1" x14ac:dyDescent="0.4">
      <c r="A241" s="1" t="s">
        <v>34</v>
      </c>
      <c r="B241" s="2">
        <v>2019</v>
      </c>
      <c r="C241" s="1" t="s">
        <v>42</v>
      </c>
      <c r="D241" s="2">
        <v>140.9</v>
      </c>
      <c r="E241" s="2">
        <v>160.80000000000001</v>
      </c>
      <c r="F241" s="2">
        <v>139.6</v>
      </c>
      <c r="G241" s="2">
        <v>145.4</v>
      </c>
      <c r="H241" s="2">
        <v>123.5</v>
      </c>
      <c r="I241" s="2">
        <v>146.6</v>
      </c>
      <c r="J241" s="2">
        <v>173.2</v>
      </c>
      <c r="K241" s="2">
        <v>131.6</v>
      </c>
      <c r="L241" s="2">
        <v>113.2</v>
      </c>
      <c r="M241" s="2">
        <v>144.1</v>
      </c>
      <c r="N241" s="2">
        <v>135</v>
      </c>
      <c r="O241" s="2">
        <v>156.80000000000001</v>
      </c>
      <c r="P241" s="2">
        <v>147</v>
      </c>
      <c r="Q241" s="2">
        <v>166.5</v>
      </c>
      <c r="R241" s="2">
        <v>149.19999999999999</v>
      </c>
      <c r="S241" s="2">
        <v>140.6</v>
      </c>
      <c r="T241" s="2">
        <v>147.9</v>
      </c>
      <c r="U241" s="2">
        <v>152.19999999999999</v>
      </c>
      <c r="V241" s="2">
        <v>139.19999999999999</v>
      </c>
      <c r="W241" s="2">
        <v>144.6</v>
      </c>
      <c r="X241" s="2">
        <v>149</v>
      </c>
      <c r="Y241" s="2">
        <v>126.1</v>
      </c>
      <c r="Z241" s="2">
        <v>141.30000000000001</v>
      </c>
      <c r="AA241" s="2">
        <v>155.19999999999999</v>
      </c>
      <c r="AB241" s="2">
        <v>139.69999999999999</v>
      </c>
      <c r="AC241" s="2">
        <v>140.69999999999999</v>
      </c>
      <c r="AD241" s="2">
        <v>145.80000000000001</v>
      </c>
    </row>
    <row r="242" spans="1:30" ht="15" thickBot="1" x14ac:dyDescent="0.4">
      <c r="A242" s="1" t="s">
        <v>30</v>
      </c>
      <c r="B242" s="2">
        <v>2019</v>
      </c>
      <c r="C242" s="1" t="s">
        <v>43</v>
      </c>
      <c r="D242" s="2">
        <v>141</v>
      </c>
      <c r="E242" s="2">
        <v>161.6</v>
      </c>
      <c r="F242" s="2">
        <v>141.19999999999999</v>
      </c>
      <c r="G242" s="2">
        <v>146.5</v>
      </c>
      <c r="H242" s="2">
        <v>125.6</v>
      </c>
      <c r="I242" s="2">
        <v>145.69999999999999</v>
      </c>
      <c r="J242" s="2">
        <v>178.8</v>
      </c>
      <c r="K242" s="2">
        <v>133.1</v>
      </c>
      <c r="L242" s="2">
        <v>113.6</v>
      </c>
      <c r="M242" s="2">
        <v>145.5</v>
      </c>
      <c r="N242" s="2">
        <v>138.6</v>
      </c>
      <c r="O242" s="2">
        <v>157.4</v>
      </c>
      <c r="P242" s="2">
        <v>148.30000000000001</v>
      </c>
      <c r="Q242" s="2">
        <v>166.3</v>
      </c>
      <c r="R242" s="2">
        <v>151.69999999999999</v>
      </c>
      <c r="S242" s="2">
        <v>146.69999999999999</v>
      </c>
      <c r="T242" s="2">
        <v>151</v>
      </c>
      <c r="U242" s="1" t="s">
        <v>32</v>
      </c>
      <c r="V242" s="2">
        <v>147.69999999999999</v>
      </c>
      <c r="W242" s="2">
        <v>150.6</v>
      </c>
      <c r="X242" s="2">
        <v>153.69999999999999</v>
      </c>
      <c r="Y242" s="2">
        <v>131.69999999999999</v>
      </c>
      <c r="Z242" s="2">
        <v>148.69999999999999</v>
      </c>
      <c r="AA242" s="2">
        <v>160.69999999999999</v>
      </c>
      <c r="AB242" s="2">
        <v>140.30000000000001</v>
      </c>
      <c r="AC242" s="2">
        <v>145.69999999999999</v>
      </c>
      <c r="AD242" s="2">
        <v>148.30000000000001</v>
      </c>
    </row>
    <row r="243" spans="1:30" ht="15" thickBot="1" x14ac:dyDescent="0.4">
      <c r="A243" s="1" t="s">
        <v>33</v>
      </c>
      <c r="B243" s="2">
        <v>2019</v>
      </c>
      <c r="C243" s="1" t="s">
        <v>43</v>
      </c>
      <c r="D243" s="2">
        <v>143.5</v>
      </c>
      <c r="E243" s="2">
        <v>159.80000000000001</v>
      </c>
      <c r="F243" s="2">
        <v>144.69999999999999</v>
      </c>
      <c r="G243" s="2">
        <v>145.6</v>
      </c>
      <c r="H243" s="2">
        <v>121.1</v>
      </c>
      <c r="I243" s="2">
        <v>150.6</v>
      </c>
      <c r="J243" s="2">
        <v>207.2</v>
      </c>
      <c r="K243" s="2">
        <v>131.19999999999999</v>
      </c>
      <c r="L243" s="2">
        <v>114.8</v>
      </c>
      <c r="M243" s="2">
        <v>145.19999999999999</v>
      </c>
      <c r="N243" s="2">
        <v>130.19999999999999</v>
      </c>
      <c r="O243" s="2">
        <v>156.80000000000001</v>
      </c>
      <c r="P243" s="2">
        <v>151.9</v>
      </c>
      <c r="Q243" s="2">
        <v>169.3</v>
      </c>
      <c r="R243" s="2">
        <v>145.9</v>
      </c>
      <c r="S243" s="2">
        <v>132.4</v>
      </c>
      <c r="T243" s="2">
        <v>143.9</v>
      </c>
      <c r="U243" s="2">
        <v>153</v>
      </c>
      <c r="V243" s="2">
        <v>128.9</v>
      </c>
      <c r="W243" s="2">
        <v>138.69999999999999</v>
      </c>
      <c r="X243" s="2">
        <v>142.4</v>
      </c>
      <c r="Y243" s="2">
        <v>121.5</v>
      </c>
      <c r="Z243" s="2">
        <v>136.19999999999999</v>
      </c>
      <c r="AA243" s="2">
        <v>151.69999999999999</v>
      </c>
      <c r="AB243" s="2">
        <v>139.5</v>
      </c>
      <c r="AC243" s="2">
        <v>136</v>
      </c>
      <c r="AD243" s="2">
        <v>146</v>
      </c>
    </row>
    <row r="244" spans="1:30" ht="26.5" thickBot="1" x14ac:dyDescent="0.4">
      <c r="A244" s="1" t="s">
        <v>34</v>
      </c>
      <c r="B244" s="2">
        <v>2019</v>
      </c>
      <c r="C244" s="1" t="s">
        <v>43</v>
      </c>
      <c r="D244" s="2">
        <v>141.80000000000001</v>
      </c>
      <c r="E244" s="2">
        <v>161</v>
      </c>
      <c r="F244" s="2">
        <v>142.6</v>
      </c>
      <c r="G244" s="2">
        <v>146.19999999999999</v>
      </c>
      <c r="H244" s="2">
        <v>123.9</v>
      </c>
      <c r="I244" s="2">
        <v>148</v>
      </c>
      <c r="J244" s="2">
        <v>188.4</v>
      </c>
      <c r="K244" s="2">
        <v>132.5</v>
      </c>
      <c r="L244" s="2">
        <v>114</v>
      </c>
      <c r="M244" s="2">
        <v>145.4</v>
      </c>
      <c r="N244" s="2">
        <v>135.1</v>
      </c>
      <c r="O244" s="2">
        <v>157.1</v>
      </c>
      <c r="P244" s="2">
        <v>149.6</v>
      </c>
      <c r="Q244" s="2">
        <v>167.1</v>
      </c>
      <c r="R244" s="2">
        <v>149.4</v>
      </c>
      <c r="S244" s="2">
        <v>140.80000000000001</v>
      </c>
      <c r="T244" s="2">
        <v>148.19999999999999</v>
      </c>
      <c r="U244" s="2">
        <v>153</v>
      </c>
      <c r="V244" s="2">
        <v>140.6</v>
      </c>
      <c r="W244" s="2">
        <v>145</v>
      </c>
      <c r="X244" s="2">
        <v>149.4</v>
      </c>
      <c r="Y244" s="2">
        <v>126.3</v>
      </c>
      <c r="Z244" s="2">
        <v>141.69999999999999</v>
      </c>
      <c r="AA244" s="2">
        <v>155.4</v>
      </c>
      <c r="AB244" s="2">
        <v>140</v>
      </c>
      <c r="AC244" s="2">
        <v>141</v>
      </c>
      <c r="AD244" s="2">
        <v>147.19999999999999</v>
      </c>
    </row>
    <row r="245" spans="1:30" ht="26.5" thickBot="1" x14ac:dyDescent="0.4">
      <c r="A245" s="1" t="s">
        <v>30</v>
      </c>
      <c r="B245" s="2">
        <v>2019</v>
      </c>
      <c r="C245" s="1" t="s">
        <v>44</v>
      </c>
      <c r="D245" s="2">
        <v>141.80000000000001</v>
      </c>
      <c r="E245" s="2">
        <v>163.69999999999999</v>
      </c>
      <c r="F245" s="2">
        <v>143.80000000000001</v>
      </c>
      <c r="G245" s="2">
        <v>147.1</v>
      </c>
      <c r="H245" s="2">
        <v>126</v>
      </c>
      <c r="I245" s="2">
        <v>146.19999999999999</v>
      </c>
      <c r="J245" s="2">
        <v>191.4</v>
      </c>
      <c r="K245" s="2">
        <v>136.19999999999999</v>
      </c>
      <c r="L245" s="2">
        <v>113.8</v>
      </c>
      <c r="M245" s="2">
        <v>147.30000000000001</v>
      </c>
      <c r="N245" s="2">
        <v>138.69999999999999</v>
      </c>
      <c r="O245" s="2">
        <v>157.69999999999999</v>
      </c>
      <c r="P245" s="2">
        <v>150.9</v>
      </c>
      <c r="Q245" s="2">
        <v>167.2</v>
      </c>
      <c r="R245" s="2">
        <v>152.30000000000001</v>
      </c>
      <c r="S245" s="2">
        <v>147</v>
      </c>
      <c r="T245" s="2">
        <v>151.5</v>
      </c>
      <c r="U245" s="1" t="s">
        <v>32</v>
      </c>
      <c r="V245" s="2">
        <v>148.4</v>
      </c>
      <c r="W245" s="2">
        <v>150.9</v>
      </c>
      <c r="X245" s="2">
        <v>154.30000000000001</v>
      </c>
      <c r="Y245" s="2">
        <v>132.1</v>
      </c>
      <c r="Z245" s="2">
        <v>149.1</v>
      </c>
      <c r="AA245" s="2">
        <v>160.80000000000001</v>
      </c>
      <c r="AB245" s="2">
        <v>140.6</v>
      </c>
      <c r="AC245" s="2">
        <v>146.1</v>
      </c>
      <c r="AD245" s="2">
        <v>149.9</v>
      </c>
    </row>
    <row r="246" spans="1:30" ht="26.5" thickBot="1" x14ac:dyDescent="0.4">
      <c r="A246" s="1" t="s">
        <v>33</v>
      </c>
      <c r="B246" s="2">
        <v>2019</v>
      </c>
      <c r="C246" s="1" t="s">
        <v>44</v>
      </c>
      <c r="D246" s="2">
        <v>144.1</v>
      </c>
      <c r="E246" s="2">
        <v>162.4</v>
      </c>
      <c r="F246" s="2">
        <v>148.4</v>
      </c>
      <c r="G246" s="2">
        <v>145.9</v>
      </c>
      <c r="H246" s="2">
        <v>121.5</v>
      </c>
      <c r="I246" s="2">
        <v>148.80000000000001</v>
      </c>
      <c r="J246" s="2">
        <v>215.7</v>
      </c>
      <c r="K246" s="2">
        <v>134.6</v>
      </c>
      <c r="L246" s="2">
        <v>115</v>
      </c>
      <c r="M246" s="2">
        <v>146.30000000000001</v>
      </c>
      <c r="N246" s="2">
        <v>130.5</v>
      </c>
      <c r="O246" s="2">
        <v>157.19999999999999</v>
      </c>
      <c r="P246" s="2">
        <v>153.6</v>
      </c>
      <c r="Q246" s="2">
        <v>169.9</v>
      </c>
      <c r="R246" s="2">
        <v>146.30000000000001</v>
      </c>
      <c r="S246" s="2">
        <v>132.6</v>
      </c>
      <c r="T246" s="2">
        <v>144.19999999999999</v>
      </c>
      <c r="U246" s="2">
        <v>153.5</v>
      </c>
      <c r="V246" s="2">
        <v>132.19999999999999</v>
      </c>
      <c r="W246" s="2">
        <v>139.1</v>
      </c>
      <c r="X246" s="2">
        <v>142.80000000000001</v>
      </c>
      <c r="Y246" s="2">
        <v>121.7</v>
      </c>
      <c r="Z246" s="2">
        <v>136.69999999999999</v>
      </c>
      <c r="AA246" s="2">
        <v>151.80000000000001</v>
      </c>
      <c r="AB246" s="2">
        <v>139.80000000000001</v>
      </c>
      <c r="AC246" s="2">
        <v>136.30000000000001</v>
      </c>
      <c r="AD246" s="2">
        <v>147</v>
      </c>
    </row>
    <row r="247" spans="1:30" ht="26.5" thickBot="1" x14ac:dyDescent="0.4">
      <c r="A247" s="1" t="s">
        <v>34</v>
      </c>
      <c r="B247" s="2">
        <v>2019</v>
      </c>
      <c r="C247" s="1" t="s">
        <v>44</v>
      </c>
      <c r="D247" s="2">
        <v>142.5</v>
      </c>
      <c r="E247" s="2">
        <v>163.19999999999999</v>
      </c>
      <c r="F247" s="2">
        <v>145.6</v>
      </c>
      <c r="G247" s="2">
        <v>146.69999999999999</v>
      </c>
      <c r="H247" s="2">
        <v>124.3</v>
      </c>
      <c r="I247" s="2">
        <v>147.4</v>
      </c>
      <c r="J247" s="2">
        <v>199.6</v>
      </c>
      <c r="K247" s="2">
        <v>135.69999999999999</v>
      </c>
      <c r="L247" s="2">
        <v>114.2</v>
      </c>
      <c r="M247" s="2">
        <v>147</v>
      </c>
      <c r="N247" s="2">
        <v>135.30000000000001</v>
      </c>
      <c r="O247" s="2">
        <v>157.5</v>
      </c>
      <c r="P247" s="2">
        <v>151.9</v>
      </c>
      <c r="Q247" s="2">
        <v>167.9</v>
      </c>
      <c r="R247" s="2">
        <v>149.9</v>
      </c>
      <c r="S247" s="2">
        <v>141</v>
      </c>
      <c r="T247" s="2">
        <v>148.6</v>
      </c>
      <c r="U247" s="2">
        <v>153.5</v>
      </c>
      <c r="V247" s="2">
        <v>142.30000000000001</v>
      </c>
      <c r="W247" s="2">
        <v>145.30000000000001</v>
      </c>
      <c r="X247" s="2">
        <v>149.9</v>
      </c>
      <c r="Y247" s="2">
        <v>126.6</v>
      </c>
      <c r="Z247" s="2">
        <v>142.1</v>
      </c>
      <c r="AA247" s="2">
        <v>155.5</v>
      </c>
      <c r="AB247" s="2">
        <v>140.30000000000001</v>
      </c>
      <c r="AC247" s="2">
        <v>141.30000000000001</v>
      </c>
      <c r="AD247" s="2">
        <v>148.6</v>
      </c>
    </row>
    <row r="248" spans="1:30" ht="26.5" thickBot="1" x14ac:dyDescent="0.4">
      <c r="A248" s="1" t="s">
        <v>30</v>
      </c>
      <c r="B248" s="2">
        <v>2019</v>
      </c>
      <c r="C248" s="1" t="s">
        <v>45</v>
      </c>
      <c r="D248" s="2">
        <v>142.80000000000001</v>
      </c>
      <c r="E248" s="2">
        <v>165.3</v>
      </c>
      <c r="F248" s="2">
        <v>149.5</v>
      </c>
      <c r="G248" s="2">
        <v>148.69999999999999</v>
      </c>
      <c r="H248" s="2">
        <v>127.5</v>
      </c>
      <c r="I248" s="2">
        <v>144.30000000000001</v>
      </c>
      <c r="J248" s="2">
        <v>209.5</v>
      </c>
      <c r="K248" s="2">
        <v>138.80000000000001</v>
      </c>
      <c r="L248" s="2">
        <v>113.6</v>
      </c>
      <c r="M248" s="2">
        <v>149.1</v>
      </c>
      <c r="N248" s="2">
        <v>139.30000000000001</v>
      </c>
      <c r="O248" s="2">
        <v>158.30000000000001</v>
      </c>
      <c r="P248" s="2">
        <v>154.30000000000001</v>
      </c>
      <c r="Q248" s="2">
        <v>167.8</v>
      </c>
      <c r="R248" s="2">
        <v>152.6</v>
      </c>
      <c r="S248" s="2">
        <v>147.30000000000001</v>
      </c>
      <c r="T248" s="2">
        <v>151.9</v>
      </c>
      <c r="U248" s="1" t="s">
        <v>32</v>
      </c>
      <c r="V248" s="2">
        <v>149.9</v>
      </c>
      <c r="W248" s="2">
        <v>151.19999999999999</v>
      </c>
      <c r="X248" s="2">
        <v>154.80000000000001</v>
      </c>
      <c r="Y248" s="2">
        <v>135</v>
      </c>
      <c r="Z248" s="2">
        <v>149.5</v>
      </c>
      <c r="AA248" s="2">
        <v>161.1</v>
      </c>
      <c r="AB248" s="2">
        <v>140.6</v>
      </c>
      <c r="AC248" s="2">
        <v>147.1</v>
      </c>
      <c r="AD248" s="2">
        <v>152.30000000000001</v>
      </c>
    </row>
    <row r="249" spans="1:30" ht="26.5" thickBot="1" x14ac:dyDescent="0.4">
      <c r="A249" s="1" t="s">
        <v>33</v>
      </c>
      <c r="B249" s="2">
        <v>2019</v>
      </c>
      <c r="C249" s="1" t="s">
        <v>45</v>
      </c>
      <c r="D249" s="2">
        <v>144.9</v>
      </c>
      <c r="E249" s="2">
        <v>164.5</v>
      </c>
      <c r="F249" s="2">
        <v>153.69999999999999</v>
      </c>
      <c r="G249" s="2">
        <v>147.5</v>
      </c>
      <c r="H249" s="2">
        <v>122.7</v>
      </c>
      <c r="I249" s="2">
        <v>147.19999999999999</v>
      </c>
      <c r="J249" s="2">
        <v>231.5</v>
      </c>
      <c r="K249" s="2">
        <v>137.19999999999999</v>
      </c>
      <c r="L249" s="2">
        <v>114.7</v>
      </c>
      <c r="M249" s="2">
        <v>148</v>
      </c>
      <c r="N249" s="2">
        <v>130.80000000000001</v>
      </c>
      <c r="O249" s="2">
        <v>157.69999999999999</v>
      </c>
      <c r="P249" s="2">
        <v>156.30000000000001</v>
      </c>
      <c r="Q249" s="2">
        <v>170.4</v>
      </c>
      <c r="R249" s="2">
        <v>146.80000000000001</v>
      </c>
      <c r="S249" s="2">
        <v>132.80000000000001</v>
      </c>
      <c r="T249" s="2">
        <v>144.6</v>
      </c>
      <c r="U249" s="2">
        <v>152.80000000000001</v>
      </c>
      <c r="V249" s="2">
        <v>133.6</v>
      </c>
      <c r="W249" s="2">
        <v>139.80000000000001</v>
      </c>
      <c r="X249" s="2">
        <v>143.19999999999999</v>
      </c>
      <c r="Y249" s="2">
        <v>125.2</v>
      </c>
      <c r="Z249" s="2">
        <v>136.80000000000001</v>
      </c>
      <c r="AA249" s="2">
        <v>151.9</v>
      </c>
      <c r="AB249" s="2">
        <v>140.19999999999999</v>
      </c>
      <c r="AC249" s="2">
        <v>137.69999999999999</v>
      </c>
      <c r="AD249" s="2">
        <v>148.30000000000001</v>
      </c>
    </row>
    <row r="250" spans="1:30" ht="26.5" thickBot="1" x14ac:dyDescent="0.4">
      <c r="A250" s="1" t="s">
        <v>34</v>
      </c>
      <c r="B250" s="2">
        <v>2019</v>
      </c>
      <c r="C250" s="1" t="s">
        <v>45</v>
      </c>
      <c r="D250" s="2">
        <v>143.5</v>
      </c>
      <c r="E250" s="2">
        <v>165</v>
      </c>
      <c r="F250" s="2">
        <v>151.1</v>
      </c>
      <c r="G250" s="2">
        <v>148.30000000000001</v>
      </c>
      <c r="H250" s="2">
        <v>125.7</v>
      </c>
      <c r="I250" s="2">
        <v>145.69999999999999</v>
      </c>
      <c r="J250" s="2">
        <v>217</v>
      </c>
      <c r="K250" s="2">
        <v>138.30000000000001</v>
      </c>
      <c r="L250" s="2">
        <v>114</v>
      </c>
      <c r="M250" s="2">
        <v>148.69999999999999</v>
      </c>
      <c r="N250" s="2">
        <v>135.80000000000001</v>
      </c>
      <c r="O250" s="2">
        <v>158</v>
      </c>
      <c r="P250" s="2">
        <v>155</v>
      </c>
      <c r="Q250" s="2">
        <v>168.5</v>
      </c>
      <c r="R250" s="2">
        <v>150.30000000000001</v>
      </c>
      <c r="S250" s="2">
        <v>141.30000000000001</v>
      </c>
      <c r="T250" s="2">
        <v>149</v>
      </c>
      <c r="U250" s="2">
        <v>152.80000000000001</v>
      </c>
      <c r="V250" s="2">
        <v>143.69999999999999</v>
      </c>
      <c r="W250" s="2">
        <v>145.80000000000001</v>
      </c>
      <c r="X250" s="2">
        <v>150.4</v>
      </c>
      <c r="Y250" s="2">
        <v>129.80000000000001</v>
      </c>
      <c r="Z250" s="2">
        <v>142.30000000000001</v>
      </c>
      <c r="AA250" s="2">
        <v>155.69999999999999</v>
      </c>
      <c r="AB250" s="2">
        <v>140.4</v>
      </c>
      <c r="AC250" s="2">
        <v>142.5</v>
      </c>
      <c r="AD250" s="2">
        <v>150.4</v>
      </c>
    </row>
    <row r="251" spans="1:30" ht="15" thickBot="1" x14ac:dyDescent="0.4">
      <c r="A251" s="1" t="s">
        <v>30</v>
      </c>
      <c r="B251" s="2">
        <v>2020</v>
      </c>
      <c r="C251" s="1" t="s">
        <v>31</v>
      </c>
      <c r="D251" s="2">
        <v>143.69999999999999</v>
      </c>
      <c r="E251" s="2">
        <v>167.3</v>
      </c>
      <c r="F251" s="2">
        <v>153.5</v>
      </c>
      <c r="G251" s="2">
        <v>150.5</v>
      </c>
      <c r="H251" s="2">
        <v>132</v>
      </c>
      <c r="I251" s="2">
        <v>142.19999999999999</v>
      </c>
      <c r="J251" s="2">
        <v>191.5</v>
      </c>
      <c r="K251" s="2">
        <v>141.1</v>
      </c>
      <c r="L251" s="2">
        <v>113.8</v>
      </c>
      <c r="M251" s="2">
        <v>151.6</v>
      </c>
      <c r="N251" s="2">
        <v>139.69999999999999</v>
      </c>
      <c r="O251" s="2">
        <v>158.69999999999999</v>
      </c>
      <c r="P251" s="2">
        <v>153</v>
      </c>
      <c r="Q251" s="2">
        <v>168.6</v>
      </c>
      <c r="R251" s="2">
        <v>152.80000000000001</v>
      </c>
      <c r="S251" s="2">
        <v>147.4</v>
      </c>
      <c r="T251" s="2">
        <v>152.1</v>
      </c>
      <c r="U251" s="1" t="s">
        <v>32</v>
      </c>
      <c r="V251" s="2">
        <v>150.4</v>
      </c>
      <c r="W251" s="2">
        <v>151.69999999999999</v>
      </c>
      <c r="X251" s="2">
        <v>155.69999999999999</v>
      </c>
      <c r="Y251" s="2">
        <v>136.30000000000001</v>
      </c>
      <c r="Z251" s="2">
        <v>150.1</v>
      </c>
      <c r="AA251" s="2">
        <v>161.69999999999999</v>
      </c>
      <c r="AB251" s="2">
        <v>142.5</v>
      </c>
      <c r="AC251" s="2">
        <v>148.1</v>
      </c>
      <c r="AD251" s="2">
        <v>151.9</v>
      </c>
    </row>
    <row r="252" spans="1:30" ht="15" thickBot="1" x14ac:dyDescent="0.4">
      <c r="A252" s="1" t="s">
        <v>33</v>
      </c>
      <c r="B252" s="2">
        <v>2020</v>
      </c>
      <c r="C252" s="1" t="s">
        <v>31</v>
      </c>
      <c r="D252" s="2">
        <v>145.6</v>
      </c>
      <c r="E252" s="2">
        <v>167.6</v>
      </c>
      <c r="F252" s="2">
        <v>157</v>
      </c>
      <c r="G252" s="2">
        <v>149.30000000000001</v>
      </c>
      <c r="H252" s="2">
        <v>126.3</v>
      </c>
      <c r="I252" s="2">
        <v>144.4</v>
      </c>
      <c r="J252" s="2">
        <v>207.8</v>
      </c>
      <c r="K252" s="2">
        <v>139.1</v>
      </c>
      <c r="L252" s="2">
        <v>114.8</v>
      </c>
      <c r="M252" s="2">
        <v>149.5</v>
      </c>
      <c r="N252" s="2">
        <v>131.1</v>
      </c>
      <c r="O252" s="2">
        <v>158.5</v>
      </c>
      <c r="P252" s="2">
        <v>154.4</v>
      </c>
      <c r="Q252" s="2">
        <v>170.8</v>
      </c>
      <c r="R252" s="2">
        <v>147</v>
      </c>
      <c r="S252" s="2">
        <v>133.19999999999999</v>
      </c>
      <c r="T252" s="2">
        <v>144.9</v>
      </c>
      <c r="U252" s="2">
        <v>153.9</v>
      </c>
      <c r="V252" s="2">
        <v>135.1</v>
      </c>
      <c r="W252" s="2">
        <v>140.1</v>
      </c>
      <c r="X252" s="2">
        <v>143.80000000000001</v>
      </c>
      <c r="Y252" s="2">
        <v>126.1</v>
      </c>
      <c r="Z252" s="2">
        <v>137.19999999999999</v>
      </c>
      <c r="AA252" s="2">
        <v>152.1</v>
      </c>
      <c r="AB252" s="2">
        <v>142.1</v>
      </c>
      <c r="AC252" s="2">
        <v>138.4</v>
      </c>
      <c r="AD252" s="2">
        <v>148.19999999999999</v>
      </c>
    </row>
    <row r="253" spans="1:30" ht="26.5" thickBot="1" x14ac:dyDescent="0.4">
      <c r="A253" s="1" t="s">
        <v>34</v>
      </c>
      <c r="B253" s="2">
        <v>2020</v>
      </c>
      <c r="C253" s="1" t="s">
        <v>31</v>
      </c>
      <c r="D253" s="2">
        <v>144.30000000000001</v>
      </c>
      <c r="E253" s="2">
        <v>167.4</v>
      </c>
      <c r="F253" s="2">
        <v>154.9</v>
      </c>
      <c r="G253" s="2">
        <v>150.1</v>
      </c>
      <c r="H253" s="2">
        <v>129.9</v>
      </c>
      <c r="I253" s="2">
        <v>143.19999999999999</v>
      </c>
      <c r="J253" s="2">
        <v>197</v>
      </c>
      <c r="K253" s="2">
        <v>140.4</v>
      </c>
      <c r="L253" s="2">
        <v>114.1</v>
      </c>
      <c r="M253" s="2">
        <v>150.9</v>
      </c>
      <c r="N253" s="2">
        <v>136.1</v>
      </c>
      <c r="O253" s="2">
        <v>158.6</v>
      </c>
      <c r="P253" s="2">
        <v>153.5</v>
      </c>
      <c r="Q253" s="2">
        <v>169.2</v>
      </c>
      <c r="R253" s="2">
        <v>150.5</v>
      </c>
      <c r="S253" s="2">
        <v>141.5</v>
      </c>
      <c r="T253" s="2">
        <v>149.19999999999999</v>
      </c>
      <c r="U253" s="2">
        <v>153.9</v>
      </c>
      <c r="V253" s="2">
        <v>144.6</v>
      </c>
      <c r="W253" s="2">
        <v>146.19999999999999</v>
      </c>
      <c r="X253" s="2">
        <v>151.19999999999999</v>
      </c>
      <c r="Y253" s="2">
        <v>130.9</v>
      </c>
      <c r="Z253" s="2">
        <v>142.80000000000001</v>
      </c>
      <c r="AA253" s="2">
        <v>156.1</v>
      </c>
      <c r="AB253" s="2">
        <v>142.30000000000001</v>
      </c>
      <c r="AC253" s="2">
        <v>143.4</v>
      </c>
      <c r="AD253" s="2">
        <v>150.19999999999999</v>
      </c>
    </row>
    <row r="254" spans="1:30" ht="15" thickBot="1" x14ac:dyDescent="0.4">
      <c r="A254" s="1" t="s">
        <v>30</v>
      </c>
      <c r="B254" s="2">
        <v>2020</v>
      </c>
      <c r="C254" s="1" t="s">
        <v>35</v>
      </c>
      <c r="D254" s="2">
        <v>144.19999999999999</v>
      </c>
      <c r="E254" s="2">
        <v>167.5</v>
      </c>
      <c r="F254" s="2">
        <v>150.9</v>
      </c>
      <c r="G254" s="2">
        <v>150.9</v>
      </c>
      <c r="H254" s="2">
        <v>133.69999999999999</v>
      </c>
      <c r="I254" s="2">
        <v>140.69999999999999</v>
      </c>
      <c r="J254" s="2">
        <v>165.1</v>
      </c>
      <c r="K254" s="2">
        <v>141.80000000000001</v>
      </c>
      <c r="L254" s="2">
        <v>113.1</v>
      </c>
      <c r="M254" s="2">
        <v>152.80000000000001</v>
      </c>
      <c r="N254" s="2">
        <v>140.1</v>
      </c>
      <c r="O254" s="2">
        <v>159.19999999999999</v>
      </c>
      <c r="P254" s="2">
        <v>149.80000000000001</v>
      </c>
      <c r="Q254" s="2">
        <v>169.4</v>
      </c>
      <c r="R254" s="2">
        <v>153</v>
      </c>
      <c r="S254" s="2">
        <v>147.5</v>
      </c>
      <c r="T254" s="2">
        <v>152.30000000000001</v>
      </c>
      <c r="U254" s="1" t="s">
        <v>32</v>
      </c>
      <c r="V254" s="2">
        <v>152.30000000000001</v>
      </c>
      <c r="W254" s="2">
        <v>151.80000000000001</v>
      </c>
      <c r="X254" s="2">
        <v>156.19999999999999</v>
      </c>
      <c r="Y254" s="2">
        <v>136</v>
      </c>
      <c r="Z254" s="2">
        <v>150.4</v>
      </c>
      <c r="AA254" s="2">
        <v>161.9</v>
      </c>
      <c r="AB254" s="2">
        <v>143.4</v>
      </c>
      <c r="AC254" s="2">
        <v>148.4</v>
      </c>
      <c r="AD254" s="2">
        <v>150.4</v>
      </c>
    </row>
    <row r="255" spans="1:30" ht="15" thickBot="1" x14ac:dyDescent="0.4">
      <c r="A255" s="1" t="s">
        <v>33</v>
      </c>
      <c r="B255" s="2">
        <v>2020</v>
      </c>
      <c r="C255" s="1" t="s">
        <v>35</v>
      </c>
      <c r="D255" s="2">
        <v>146.19999999999999</v>
      </c>
      <c r="E255" s="2">
        <v>167.6</v>
      </c>
      <c r="F255" s="2">
        <v>153.1</v>
      </c>
      <c r="G255" s="2">
        <v>150.69999999999999</v>
      </c>
      <c r="H255" s="2">
        <v>127.4</v>
      </c>
      <c r="I255" s="2">
        <v>143.1</v>
      </c>
      <c r="J255" s="2">
        <v>181.7</v>
      </c>
      <c r="K255" s="2">
        <v>139.6</v>
      </c>
      <c r="L255" s="2">
        <v>114.6</v>
      </c>
      <c r="M255" s="2">
        <v>150.4</v>
      </c>
      <c r="N255" s="2">
        <v>131.5</v>
      </c>
      <c r="O255" s="2">
        <v>159</v>
      </c>
      <c r="P255" s="2">
        <v>151.69999999999999</v>
      </c>
      <c r="Q255" s="2">
        <v>172</v>
      </c>
      <c r="R255" s="2">
        <v>147.30000000000001</v>
      </c>
      <c r="S255" s="2">
        <v>133.5</v>
      </c>
      <c r="T255" s="2">
        <v>145.19999999999999</v>
      </c>
      <c r="U255" s="2">
        <v>154.80000000000001</v>
      </c>
      <c r="V255" s="2">
        <v>138.9</v>
      </c>
      <c r="W255" s="2">
        <v>140.4</v>
      </c>
      <c r="X255" s="2">
        <v>144.4</v>
      </c>
      <c r="Y255" s="2">
        <v>125.2</v>
      </c>
      <c r="Z255" s="2">
        <v>137.69999999999999</v>
      </c>
      <c r="AA255" s="2">
        <v>152.19999999999999</v>
      </c>
      <c r="AB255" s="2">
        <v>143.5</v>
      </c>
      <c r="AC255" s="2">
        <v>138.4</v>
      </c>
      <c r="AD255" s="2">
        <v>147.69999999999999</v>
      </c>
    </row>
    <row r="256" spans="1:30" ht="26.5" thickBot="1" x14ac:dyDescent="0.4">
      <c r="A256" s="1" t="s">
        <v>34</v>
      </c>
      <c r="B256" s="2">
        <v>2020</v>
      </c>
      <c r="C256" s="1" t="s">
        <v>35</v>
      </c>
      <c r="D256" s="2">
        <v>144.80000000000001</v>
      </c>
      <c r="E256" s="2">
        <v>167.5</v>
      </c>
      <c r="F256" s="2">
        <v>151.80000000000001</v>
      </c>
      <c r="G256" s="2">
        <v>150.80000000000001</v>
      </c>
      <c r="H256" s="2">
        <v>131.4</v>
      </c>
      <c r="I256" s="2">
        <v>141.80000000000001</v>
      </c>
      <c r="J256" s="2">
        <v>170.7</v>
      </c>
      <c r="K256" s="2">
        <v>141.1</v>
      </c>
      <c r="L256" s="2">
        <v>113.6</v>
      </c>
      <c r="M256" s="2">
        <v>152</v>
      </c>
      <c r="N256" s="2">
        <v>136.5</v>
      </c>
      <c r="O256" s="2">
        <v>159.1</v>
      </c>
      <c r="P256" s="2">
        <v>150.5</v>
      </c>
      <c r="Q256" s="2">
        <v>170.1</v>
      </c>
      <c r="R256" s="2">
        <v>150.80000000000001</v>
      </c>
      <c r="S256" s="2">
        <v>141.69999999999999</v>
      </c>
      <c r="T256" s="2">
        <v>149.5</v>
      </c>
      <c r="U256" s="2">
        <v>154.80000000000001</v>
      </c>
      <c r="V256" s="2">
        <v>147.19999999999999</v>
      </c>
      <c r="W256" s="2">
        <v>146.4</v>
      </c>
      <c r="X256" s="2">
        <v>151.69999999999999</v>
      </c>
      <c r="Y256" s="2">
        <v>130.30000000000001</v>
      </c>
      <c r="Z256" s="2">
        <v>143.19999999999999</v>
      </c>
      <c r="AA256" s="2">
        <v>156.19999999999999</v>
      </c>
      <c r="AB256" s="2">
        <v>143.4</v>
      </c>
      <c r="AC256" s="2">
        <v>143.6</v>
      </c>
      <c r="AD256" s="2">
        <v>149.1</v>
      </c>
    </row>
    <row r="257" spans="1:30" ht="15" thickBot="1" x14ac:dyDescent="0.4">
      <c r="A257" s="1" t="s">
        <v>30</v>
      </c>
      <c r="B257" s="2">
        <v>2020</v>
      </c>
      <c r="C257" s="1" t="s">
        <v>36</v>
      </c>
      <c r="D257" s="2">
        <v>144.4</v>
      </c>
      <c r="E257" s="2">
        <v>166.8</v>
      </c>
      <c r="F257" s="2">
        <v>147.6</v>
      </c>
      <c r="G257" s="2">
        <v>151.69999999999999</v>
      </c>
      <c r="H257" s="2">
        <v>133.30000000000001</v>
      </c>
      <c r="I257" s="2">
        <v>141.80000000000001</v>
      </c>
      <c r="J257" s="2">
        <v>152.30000000000001</v>
      </c>
      <c r="K257" s="2">
        <v>141.80000000000001</v>
      </c>
      <c r="L257" s="2">
        <v>112.6</v>
      </c>
      <c r="M257" s="2">
        <v>154</v>
      </c>
      <c r="N257" s="2">
        <v>140.1</v>
      </c>
      <c r="O257" s="2">
        <v>160</v>
      </c>
      <c r="P257" s="2">
        <v>148.19999999999999</v>
      </c>
      <c r="Q257" s="2">
        <v>170.5</v>
      </c>
      <c r="R257" s="2">
        <v>153.4</v>
      </c>
      <c r="S257" s="2">
        <v>147.6</v>
      </c>
      <c r="T257" s="2">
        <v>152.5</v>
      </c>
      <c r="U257" s="1" t="s">
        <v>32</v>
      </c>
      <c r="V257" s="2">
        <v>153.4</v>
      </c>
      <c r="W257" s="2">
        <v>151.5</v>
      </c>
      <c r="X257" s="2">
        <v>156.69999999999999</v>
      </c>
      <c r="Y257" s="2">
        <v>135.80000000000001</v>
      </c>
      <c r="Z257" s="2">
        <v>151.19999999999999</v>
      </c>
      <c r="AA257" s="2">
        <v>161.19999999999999</v>
      </c>
      <c r="AB257" s="2">
        <v>145.1</v>
      </c>
      <c r="AC257" s="2">
        <v>148.6</v>
      </c>
      <c r="AD257" s="2">
        <v>149.80000000000001</v>
      </c>
    </row>
    <row r="258" spans="1:30" ht="15" thickBot="1" x14ac:dyDescent="0.4">
      <c r="A258" s="1" t="s">
        <v>33</v>
      </c>
      <c r="B258" s="2">
        <v>2020</v>
      </c>
      <c r="C258" s="1" t="s">
        <v>36</v>
      </c>
      <c r="D258" s="2">
        <v>146.5</v>
      </c>
      <c r="E258" s="2">
        <v>167.5</v>
      </c>
      <c r="F258" s="2">
        <v>148.9</v>
      </c>
      <c r="G258" s="2">
        <v>151.1</v>
      </c>
      <c r="H258" s="2">
        <v>127.5</v>
      </c>
      <c r="I258" s="2">
        <v>143.30000000000001</v>
      </c>
      <c r="J258" s="2">
        <v>167</v>
      </c>
      <c r="K258" s="2">
        <v>139.69999999999999</v>
      </c>
      <c r="L258" s="2">
        <v>114.4</v>
      </c>
      <c r="M258" s="2">
        <v>151.5</v>
      </c>
      <c r="N258" s="2">
        <v>131.9</v>
      </c>
      <c r="O258" s="2">
        <v>159.1</v>
      </c>
      <c r="P258" s="2">
        <v>150.1</v>
      </c>
      <c r="Q258" s="2">
        <v>173.3</v>
      </c>
      <c r="R258" s="2">
        <v>147.69999999999999</v>
      </c>
      <c r="S258" s="2">
        <v>133.80000000000001</v>
      </c>
      <c r="T258" s="2">
        <v>145.6</v>
      </c>
      <c r="U258" s="2">
        <v>154.5</v>
      </c>
      <c r="V258" s="2">
        <v>141.4</v>
      </c>
      <c r="W258" s="2">
        <v>140.80000000000001</v>
      </c>
      <c r="X258" s="2">
        <v>145</v>
      </c>
      <c r="Y258" s="2">
        <v>124.6</v>
      </c>
      <c r="Z258" s="2">
        <v>137.9</v>
      </c>
      <c r="AA258" s="2">
        <v>152.5</v>
      </c>
      <c r="AB258" s="2">
        <v>145.30000000000001</v>
      </c>
      <c r="AC258" s="2">
        <v>138.69999999999999</v>
      </c>
      <c r="AD258" s="2">
        <v>147.30000000000001</v>
      </c>
    </row>
    <row r="259" spans="1:30" ht="26.5" thickBot="1" x14ac:dyDescent="0.4">
      <c r="A259" s="1" t="s">
        <v>34</v>
      </c>
      <c r="B259" s="2">
        <v>2020</v>
      </c>
      <c r="C259" s="1" t="s">
        <v>36</v>
      </c>
      <c r="D259" s="2">
        <v>145.1</v>
      </c>
      <c r="E259" s="2">
        <v>167</v>
      </c>
      <c r="F259" s="2">
        <v>148.1</v>
      </c>
      <c r="G259" s="2">
        <v>151.5</v>
      </c>
      <c r="H259" s="2">
        <v>131.19999999999999</v>
      </c>
      <c r="I259" s="2">
        <v>142.5</v>
      </c>
      <c r="J259" s="2">
        <v>157.30000000000001</v>
      </c>
      <c r="K259" s="2">
        <v>141.1</v>
      </c>
      <c r="L259" s="2">
        <v>113.2</v>
      </c>
      <c r="M259" s="2">
        <v>153.19999999999999</v>
      </c>
      <c r="N259" s="2">
        <v>136.69999999999999</v>
      </c>
      <c r="O259" s="2">
        <v>159.6</v>
      </c>
      <c r="P259" s="2">
        <v>148.9</v>
      </c>
      <c r="Q259" s="2">
        <v>171.2</v>
      </c>
      <c r="R259" s="2">
        <v>151.19999999999999</v>
      </c>
      <c r="S259" s="2">
        <v>141.9</v>
      </c>
      <c r="T259" s="2">
        <v>149.80000000000001</v>
      </c>
      <c r="U259" s="2">
        <v>154.5</v>
      </c>
      <c r="V259" s="2">
        <v>148.9</v>
      </c>
      <c r="W259" s="2">
        <v>146.4</v>
      </c>
      <c r="X259" s="2">
        <v>152.30000000000001</v>
      </c>
      <c r="Y259" s="2">
        <v>129.9</v>
      </c>
      <c r="Z259" s="2">
        <v>143.69999999999999</v>
      </c>
      <c r="AA259" s="2">
        <v>156.1</v>
      </c>
      <c r="AB259" s="2">
        <v>145.19999999999999</v>
      </c>
      <c r="AC259" s="2">
        <v>143.80000000000001</v>
      </c>
      <c r="AD259" s="2">
        <v>148.6</v>
      </c>
    </row>
    <row r="260" spans="1:30" ht="15" thickBot="1" x14ac:dyDescent="0.4">
      <c r="A260" s="1" t="s">
        <v>30</v>
      </c>
      <c r="B260" s="2">
        <v>2020</v>
      </c>
      <c r="C260" s="1" t="s">
        <v>37</v>
      </c>
      <c r="D260" s="2">
        <v>147.19999999999999</v>
      </c>
      <c r="E260" s="1" t="s">
        <v>32</v>
      </c>
      <c r="F260" s="2">
        <v>146.9</v>
      </c>
      <c r="G260" s="2">
        <v>155.6</v>
      </c>
      <c r="H260" s="2">
        <v>137.1</v>
      </c>
      <c r="I260" s="2">
        <v>147.30000000000001</v>
      </c>
      <c r="J260" s="2">
        <v>162.69999999999999</v>
      </c>
      <c r="K260" s="2">
        <v>150.19999999999999</v>
      </c>
      <c r="L260" s="2">
        <v>119.8</v>
      </c>
      <c r="M260" s="2">
        <v>158.69999999999999</v>
      </c>
      <c r="N260" s="2">
        <v>139.19999999999999</v>
      </c>
      <c r="O260" s="1" t="s">
        <v>32</v>
      </c>
      <c r="P260" s="2">
        <v>150.1</v>
      </c>
      <c r="Q260" s="1" t="s">
        <v>32</v>
      </c>
      <c r="R260" s="1" t="s">
        <v>32</v>
      </c>
      <c r="S260" s="1" t="s">
        <v>32</v>
      </c>
      <c r="T260" s="1" t="s">
        <v>32</v>
      </c>
      <c r="U260" s="1" t="s">
        <v>32</v>
      </c>
      <c r="V260" s="2">
        <v>148.4</v>
      </c>
      <c r="W260" s="1" t="s">
        <v>32</v>
      </c>
      <c r="X260" s="2">
        <v>154.30000000000001</v>
      </c>
      <c r="Y260" s="1" t="s">
        <v>32</v>
      </c>
      <c r="Z260" s="1" t="s">
        <v>32</v>
      </c>
      <c r="AA260" s="1" t="s">
        <v>32</v>
      </c>
      <c r="AB260" s="1" t="s">
        <v>32</v>
      </c>
      <c r="AC260" s="1" t="s">
        <v>32</v>
      </c>
      <c r="AD260" s="1" t="s">
        <v>32</v>
      </c>
    </row>
    <row r="261" spans="1:30" ht="15" thickBot="1" x14ac:dyDescent="0.4">
      <c r="A261" s="1" t="s">
        <v>33</v>
      </c>
      <c r="B261" s="2">
        <v>2020</v>
      </c>
      <c r="C261" s="1" t="s">
        <v>37</v>
      </c>
      <c r="D261" s="2">
        <v>151.80000000000001</v>
      </c>
      <c r="E261" s="1" t="s">
        <v>32</v>
      </c>
      <c r="F261" s="2">
        <v>151.9</v>
      </c>
      <c r="G261" s="2">
        <v>155.5</v>
      </c>
      <c r="H261" s="2">
        <v>131.6</v>
      </c>
      <c r="I261" s="2">
        <v>152.9</v>
      </c>
      <c r="J261" s="2">
        <v>180</v>
      </c>
      <c r="K261" s="2">
        <v>150.80000000000001</v>
      </c>
      <c r="L261" s="2">
        <v>121.2</v>
      </c>
      <c r="M261" s="2">
        <v>154</v>
      </c>
      <c r="N261" s="2">
        <v>133.5</v>
      </c>
      <c r="O261" s="1" t="s">
        <v>32</v>
      </c>
      <c r="P261" s="2">
        <v>153.5</v>
      </c>
      <c r="Q261" s="1" t="s">
        <v>32</v>
      </c>
      <c r="R261" s="1" t="s">
        <v>32</v>
      </c>
      <c r="S261" s="1" t="s">
        <v>32</v>
      </c>
      <c r="T261" s="1" t="s">
        <v>32</v>
      </c>
      <c r="U261" s="2">
        <v>155.6</v>
      </c>
      <c r="V261" s="2">
        <v>137.1</v>
      </c>
      <c r="W261" s="1" t="s">
        <v>32</v>
      </c>
      <c r="X261" s="2">
        <v>144.80000000000001</v>
      </c>
      <c r="Y261" s="1" t="s">
        <v>32</v>
      </c>
      <c r="Z261" s="1" t="s">
        <v>32</v>
      </c>
      <c r="AA261" s="1" t="s">
        <v>32</v>
      </c>
      <c r="AB261" s="1" t="s">
        <v>32</v>
      </c>
      <c r="AC261" s="1" t="s">
        <v>32</v>
      </c>
      <c r="AD261" s="1" t="s">
        <v>32</v>
      </c>
    </row>
    <row r="262" spans="1:30" ht="26.5" thickBot="1" x14ac:dyDescent="0.4">
      <c r="A262" s="1" t="s">
        <v>34</v>
      </c>
      <c r="B262" s="2">
        <v>2020</v>
      </c>
      <c r="C262" s="1" t="s">
        <v>37</v>
      </c>
      <c r="D262" s="2">
        <v>148.69999999999999</v>
      </c>
      <c r="E262" s="1" t="s">
        <v>32</v>
      </c>
      <c r="F262" s="2">
        <v>148.80000000000001</v>
      </c>
      <c r="G262" s="2">
        <v>155.6</v>
      </c>
      <c r="H262" s="2">
        <v>135.1</v>
      </c>
      <c r="I262" s="2">
        <v>149.9</v>
      </c>
      <c r="J262" s="2">
        <v>168.6</v>
      </c>
      <c r="K262" s="2">
        <v>150.4</v>
      </c>
      <c r="L262" s="2">
        <v>120.3</v>
      </c>
      <c r="M262" s="2">
        <v>157.1</v>
      </c>
      <c r="N262" s="2">
        <v>136.80000000000001</v>
      </c>
      <c r="O262" s="1" t="s">
        <v>32</v>
      </c>
      <c r="P262" s="2">
        <v>151.4</v>
      </c>
      <c r="Q262" s="1" t="s">
        <v>32</v>
      </c>
      <c r="R262" s="1" t="s">
        <v>32</v>
      </c>
      <c r="S262" s="1" t="s">
        <v>32</v>
      </c>
      <c r="T262" s="1" t="s">
        <v>32</v>
      </c>
      <c r="U262" s="2">
        <v>155.6</v>
      </c>
      <c r="V262" s="2">
        <v>144.1</v>
      </c>
      <c r="W262" s="1" t="s">
        <v>32</v>
      </c>
      <c r="X262" s="2">
        <v>150.69999999999999</v>
      </c>
      <c r="Y262" s="1" t="s">
        <v>32</v>
      </c>
      <c r="Z262" s="1" t="s">
        <v>32</v>
      </c>
      <c r="AA262" s="1" t="s">
        <v>32</v>
      </c>
      <c r="AB262" s="1" t="s">
        <v>32</v>
      </c>
      <c r="AC262" s="1" t="s">
        <v>32</v>
      </c>
      <c r="AD262" s="1" t="s">
        <v>32</v>
      </c>
    </row>
    <row r="263" spans="1:30" ht="15" thickBot="1" x14ac:dyDescent="0.4">
      <c r="A263" s="1" t="s">
        <v>30</v>
      </c>
      <c r="B263" s="2">
        <v>2020</v>
      </c>
      <c r="C263" s="1" t="s">
        <v>38</v>
      </c>
      <c r="D263" s="1" t="s">
        <v>32</v>
      </c>
      <c r="E263" s="1" t="s">
        <v>32</v>
      </c>
      <c r="F263" s="1" t="s">
        <v>32</v>
      </c>
      <c r="G263" s="1" t="s">
        <v>32</v>
      </c>
      <c r="H263" s="1" t="s">
        <v>32</v>
      </c>
      <c r="I263" s="1" t="s">
        <v>32</v>
      </c>
      <c r="J263" s="1" t="s">
        <v>32</v>
      </c>
      <c r="K263" s="1" t="s">
        <v>32</v>
      </c>
      <c r="L263" s="1" t="s">
        <v>32</v>
      </c>
      <c r="M263" s="1" t="s">
        <v>32</v>
      </c>
      <c r="N263" s="1" t="s">
        <v>32</v>
      </c>
      <c r="O263" s="1" t="s">
        <v>32</v>
      </c>
      <c r="P263" s="1" t="s">
        <v>32</v>
      </c>
      <c r="Q263" s="1" t="s">
        <v>32</v>
      </c>
      <c r="R263" s="1" t="s">
        <v>32</v>
      </c>
      <c r="S263" s="1" t="s">
        <v>32</v>
      </c>
      <c r="T263" s="1" t="s">
        <v>32</v>
      </c>
      <c r="U263" s="1" t="s">
        <v>32</v>
      </c>
      <c r="V263" s="1" t="s">
        <v>32</v>
      </c>
      <c r="W263" s="1" t="s">
        <v>32</v>
      </c>
      <c r="X263" s="1" t="s">
        <v>32</v>
      </c>
      <c r="Y263" s="1" t="s">
        <v>32</v>
      </c>
      <c r="Z263" s="1" t="s">
        <v>32</v>
      </c>
      <c r="AA263" s="1" t="s">
        <v>32</v>
      </c>
      <c r="AB263" s="1" t="s">
        <v>32</v>
      </c>
      <c r="AC263" s="1" t="s">
        <v>32</v>
      </c>
      <c r="AD263" s="1" t="s">
        <v>32</v>
      </c>
    </row>
    <row r="264" spans="1:30" ht="15" thickBot="1" x14ac:dyDescent="0.4">
      <c r="A264" s="1" t="s">
        <v>33</v>
      </c>
      <c r="B264" s="2">
        <v>2020</v>
      </c>
      <c r="C264" s="1" t="s">
        <v>38</v>
      </c>
      <c r="D264" s="1" t="s">
        <v>32</v>
      </c>
      <c r="E264" s="1" t="s">
        <v>32</v>
      </c>
      <c r="F264" s="1" t="s">
        <v>32</v>
      </c>
      <c r="G264" s="1" t="s">
        <v>32</v>
      </c>
      <c r="H264" s="1" t="s">
        <v>32</v>
      </c>
      <c r="I264" s="1" t="s">
        <v>32</v>
      </c>
      <c r="J264" s="1" t="s">
        <v>32</v>
      </c>
      <c r="K264" s="1" t="s">
        <v>32</v>
      </c>
      <c r="L264" s="1" t="s">
        <v>32</v>
      </c>
      <c r="M264" s="1" t="s">
        <v>32</v>
      </c>
      <c r="N264" s="1" t="s">
        <v>32</v>
      </c>
      <c r="O264" s="1" t="s">
        <v>32</v>
      </c>
      <c r="P264" s="1" t="s">
        <v>32</v>
      </c>
      <c r="Q264" s="1" t="s">
        <v>32</v>
      </c>
      <c r="R264" s="1" t="s">
        <v>32</v>
      </c>
      <c r="S264" s="1" t="s">
        <v>32</v>
      </c>
      <c r="T264" s="1" t="s">
        <v>32</v>
      </c>
      <c r="U264" s="1" t="s">
        <v>32</v>
      </c>
      <c r="V264" s="1" t="s">
        <v>32</v>
      </c>
      <c r="W264" s="1" t="s">
        <v>32</v>
      </c>
      <c r="X264" s="1" t="s">
        <v>32</v>
      </c>
      <c r="Y264" s="1" t="s">
        <v>32</v>
      </c>
      <c r="Z264" s="1" t="s">
        <v>32</v>
      </c>
      <c r="AA264" s="1" t="s">
        <v>32</v>
      </c>
      <c r="AB264" s="1" t="s">
        <v>32</v>
      </c>
      <c r="AC264" s="1" t="s">
        <v>32</v>
      </c>
      <c r="AD264" s="1" t="s">
        <v>32</v>
      </c>
    </row>
    <row r="265" spans="1:30" ht="26.5" thickBot="1" x14ac:dyDescent="0.4">
      <c r="A265" s="1" t="s">
        <v>34</v>
      </c>
      <c r="B265" s="2">
        <v>2020</v>
      </c>
      <c r="C265" s="1" t="s">
        <v>38</v>
      </c>
      <c r="D265" s="1" t="s">
        <v>32</v>
      </c>
      <c r="E265" s="1" t="s">
        <v>32</v>
      </c>
      <c r="F265" s="1" t="s">
        <v>32</v>
      </c>
      <c r="G265" s="1" t="s">
        <v>32</v>
      </c>
      <c r="H265" s="1" t="s">
        <v>32</v>
      </c>
      <c r="I265" s="1" t="s">
        <v>32</v>
      </c>
      <c r="J265" s="1" t="s">
        <v>32</v>
      </c>
      <c r="K265" s="1" t="s">
        <v>32</v>
      </c>
      <c r="L265" s="1" t="s">
        <v>32</v>
      </c>
      <c r="M265" s="1" t="s">
        <v>32</v>
      </c>
      <c r="N265" s="1" t="s">
        <v>32</v>
      </c>
      <c r="O265" s="1" t="s">
        <v>32</v>
      </c>
      <c r="P265" s="1" t="s">
        <v>32</v>
      </c>
      <c r="Q265" s="1" t="s">
        <v>32</v>
      </c>
      <c r="R265" s="1" t="s">
        <v>32</v>
      </c>
      <c r="S265" s="1" t="s">
        <v>32</v>
      </c>
      <c r="T265" s="1" t="s">
        <v>32</v>
      </c>
      <c r="U265" s="1" t="s">
        <v>32</v>
      </c>
      <c r="V265" s="1" t="s">
        <v>32</v>
      </c>
      <c r="W265" s="1" t="s">
        <v>32</v>
      </c>
      <c r="X265" s="1" t="s">
        <v>32</v>
      </c>
      <c r="Y265" s="1" t="s">
        <v>32</v>
      </c>
      <c r="Z265" s="1" t="s">
        <v>32</v>
      </c>
      <c r="AA265" s="1" t="s">
        <v>32</v>
      </c>
      <c r="AB265" s="1" t="s">
        <v>32</v>
      </c>
      <c r="AC265" s="1" t="s">
        <v>32</v>
      </c>
      <c r="AD265" s="1" t="s">
        <v>32</v>
      </c>
    </row>
    <row r="266" spans="1:30" ht="15" thickBot="1" x14ac:dyDescent="0.4">
      <c r="A266" s="1" t="s">
        <v>30</v>
      </c>
      <c r="B266" s="2">
        <v>2020</v>
      </c>
      <c r="C266" s="1" t="s">
        <v>39</v>
      </c>
      <c r="D266" s="2">
        <v>148.19999999999999</v>
      </c>
      <c r="E266" s="2">
        <v>190.3</v>
      </c>
      <c r="F266" s="2">
        <v>149.4</v>
      </c>
      <c r="G266" s="2">
        <v>153.30000000000001</v>
      </c>
      <c r="H266" s="2">
        <v>138.19999999999999</v>
      </c>
      <c r="I266" s="2">
        <v>143.19999999999999</v>
      </c>
      <c r="J266" s="2">
        <v>148.9</v>
      </c>
      <c r="K266" s="2">
        <v>150.30000000000001</v>
      </c>
      <c r="L266" s="2">
        <v>113.2</v>
      </c>
      <c r="M266" s="2">
        <v>159.80000000000001</v>
      </c>
      <c r="N266" s="2">
        <v>142.1</v>
      </c>
      <c r="O266" s="2">
        <v>161.80000000000001</v>
      </c>
      <c r="P266" s="2">
        <v>152.30000000000001</v>
      </c>
      <c r="Q266" s="2">
        <v>182.4</v>
      </c>
      <c r="R266" s="2">
        <v>154.69999999999999</v>
      </c>
      <c r="S266" s="2">
        <v>150</v>
      </c>
      <c r="T266" s="2">
        <v>154.1</v>
      </c>
      <c r="U266" s="1" t="s">
        <v>32</v>
      </c>
      <c r="V266" s="2">
        <v>144.9</v>
      </c>
      <c r="W266" s="2">
        <v>151.69999999999999</v>
      </c>
      <c r="X266" s="2">
        <v>158.19999999999999</v>
      </c>
      <c r="Y266" s="2">
        <v>141.4</v>
      </c>
      <c r="Z266" s="2">
        <v>153.19999999999999</v>
      </c>
      <c r="AA266" s="2">
        <v>161.80000000000001</v>
      </c>
      <c r="AB266" s="2">
        <v>151.19999999999999</v>
      </c>
      <c r="AC266" s="2">
        <v>151.69999999999999</v>
      </c>
      <c r="AD266" s="2">
        <v>152.69999999999999</v>
      </c>
    </row>
    <row r="267" spans="1:30" ht="15" thickBot="1" x14ac:dyDescent="0.4">
      <c r="A267" s="1" t="s">
        <v>33</v>
      </c>
      <c r="B267" s="2">
        <v>2020</v>
      </c>
      <c r="C267" s="1" t="s">
        <v>39</v>
      </c>
      <c r="D267" s="2">
        <v>152.69999999999999</v>
      </c>
      <c r="E267" s="2">
        <v>197</v>
      </c>
      <c r="F267" s="2">
        <v>154.6</v>
      </c>
      <c r="G267" s="2">
        <v>153.4</v>
      </c>
      <c r="H267" s="2">
        <v>132.9</v>
      </c>
      <c r="I267" s="2">
        <v>151.80000000000001</v>
      </c>
      <c r="J267" s="2">
        <v>171.2</v>
      </c>
      <c r="K267" s="2">
        <v>152</v>
      </c>
      <c r="L267" s="2">
        <v>116.3</v>
      </c>
      <c r="M267" s="2">
        <v>158.80000000000001</v>
      </c>
      <c r="N267" s="2">
        <v>135.6</v>
      </c>
      <c r="O267" s="2">
        <v>161.69999999999999</v>
      </c>
      <c r="P267" s="2">
        <v>157</v>
      </c>
      <c r="Q267" s="2">
        <v>186.7</v>
      </c>
      <c r="R267" s="2">
        <v>149.1</v>
      </c>
      <c r="S267" s="2">
        <v>136.6</v>
      </c>
      <c r="T267" s="2">
        <v>147.19999999999999</v>
      </c>
      <c r="U267" s="2">
        <v>154.69999999999999</v>
      </c>
      <c r="V267" s="2">
        <v>137.1</v>
      </c>
      <c r="W267" s="2">
        <v>140.4</v>
      </c>
      <c r="X267" s="2">
        <v>148.1</v>
      </c>
      <c r="Y267" s="2">
        <v>129.30000000000001</v>
      </c>
      <c r="Z267" s="2">
        <v>144.5</v>
      </c>
      <c r="AA267" s="2">
        <v>152.5</v>
      </c>
      <c r="AB267" s="2">
        <v>152.19999999999999</v>
      </c>
      <c r="AC267" s="2">
        <v>142</v>
      </c>
      <c r="AD267" s="2">
        <v>150.80000000000001</v>
      </c>
    </row>
    <row r="268" spans="1:30" ht="26.5" thickBot="1" x14ac:dyDescent="0.4">
      <c r="A268" s="1" t="s">
        <v>34</v>
      </c>
      <c r="B268" s="2">
        <v>2020</v>
      </c>
      <c r="C268" s="1" t="s">
        <v>39</v>
      </c>
      <c r="D268" s="2">
        <v>149.6</v>
      </c>
      <c r="E268" s="2">
        <v>192.7</v>
      </c>
      <c r="F268" s="2">
        <v>151.4</v>
      </c>
      <c r="G268" s="2">
        <v>153.30000000000001</v>
      </c>
      <c r="H268" s="2">
        <v>136.30000000000001</v>
      </c>
      <c r="I268" s="2">
        <v>147.19999999999999</v>
      </c>
      <c r="J268" s="2">
        <v>156.5</v>
      </c>
      <c r="K268" s="2">
        <v>150.9</v>
      </c>
      <c r="L268" s="2">
        <v>114.2</v>
      </c>
      <c r="M268" s="2">
        <v>159.5</v>
      </c>
      <c r="N268" s="2">
        <v>139.4</v>
      </c>
      <c r="O268" s="2">
        <v>161.80000000000001</v>
      </c>
      <c r="P268" s="2">
        <v>154</v>
      </c>
      <c r="Q268" s="2">
        <v>183.5</v>
      </c>
      <c r="R268" s="2">
        <v>152.5</v>
      </c>
      <c r="S268" s="2">
        <v>144.4</v>
      </c>
      <c r="T268" s="2">
        <v>151.4</v>
      </c>
      <c r="U268" s="2">
        <v>154.69999999999999</v>
      </c>
      <c r="V268" s="2">
        <v>141.9</v>
      </c>
      <c r="W268" s="2">
        <v>146.4</v>
      </c>
      <c r="X268" s="2">
        <v>154.4</v>
      </c>
      <c r="Y268" s="2">
        <v>135</v>
      </c>
      <c r="Z268" s="2">
        <v>148.30000000000001</v>
      </c>
      <c r="AA268" s="2">
        <v>156.4</v>
      </c>
      <c r="AB268" s="2">
        <v>151.6</v>
      </c>
      <c r="AC268" s="2">
        <v>147</v>
      </c>
      <c r="AD268" s="2">
        <v>151.80000000000001</v>
      </c>
    </row>
    <row r="269" spans="1:30" ht="15" thickBot="1" x14ac:dyDescent="0.4">
      <c r="A269" s="1" t="s">
        <v>30</v>
      </c>
      <c r="B269" s="2">
        <v>2020</v>
      </c>
      <c r="C269" s="1" t="s">
        <v>40</v>
      </c>
      <c r="D269" s="2">
        <v>148.19999999999999</v>
      </c>
      <c r="E269" s="2">
        <v>190.3</v>
      </c>
      <c r="F269" s="2">
        <v>149.4</v>
      </c>
      <c r="G269" s="2">
        <v>153.30000000000001</v>
      </c>
      <c r="H269" s="2">
        <v>138.19999999999999</v>
      </c>
      <c r="I269" s="2">
        <v>143.19999999999999</v>
      </c>
      <c r="J269" s="2">
        <v>148.9</v>
      </c>
      <c r="K269" s="2">
        <v>150.30000000000001</v>
      </c>
      <c r="L269" s="2">
        <v>113.2</v>
      </c>
      <c r="M269" s="2">
        <v>159.80000000000001</v>
      </c>
      <c r="N269" s="2">
        <v>142.1</v>
      </c>
      <c r="O269" s="2">
        <v>161.80000000000001</v>
      </c>
      <c r="P269" s="2">
        <v>152.30000000000001</v>
      </c>
      <c r="Q269" s="2">
        <v>182.4</v>
      </c>
      <c r="R269" s="2">
        <v>154.69999999999999</v>
      </c>
      <c r="S269" s="2">
        <v>150</v>
      </c>
      <c r="T269" s="2">
        <v>154.1</v>
      </c>
      <c r="U269" s="1" t="s">
        <v>32</v>
      </c>
      <c r="V269" s="2">
        <v>144.9</v>
      </c>
      <c r="W269" s="2">
        <v>151.69999999999999</v>
      </c>
      <c r="X269" s="2">
        <v>158.19999999999999</v>
      </c>
      <c r="Y269" s="2">
        <v>141.4</v>
      </c>
      <c r="Z269" s="2">
        <v>153.19999999999999</v>
      </c>
      <c r="AA269" s="2">
        <v>161.80000000000001</v>
      </c>
      <c r="AB269" s="2">
        <v>151.19999999999999</v>
      </c>
      <c r="AC269" s="2">
        <v>151.69999999999999</v>
      </c>
      <c r="AD269" s="2">
        <v>152.69999999999999</v>
      </c>
    </row>
    <row r="270" spans="1:30" ht="15" thickBot="1" x14ac:dyDescent="0.4">
      <c r="A270" s="1" t="s">
        <v>33</v>
      </c>
      <c r="B270" s="2">
        <v>2020</v>
      </c>
      <c r="C270" s="1" t="s">
        <v>40</v>
      </c>
      <c r="D270" s="2">
        <v>152.69999999999999</v>
      </c>
      <c r="E270" s="2">
        <v>197</v>
      </c>
      <c r="F270" s="2">
        <v>154.6</v>
      </c>
      <c r="G270" s="2">
        <v>153.4</v>
      </c>
      <c r="H270" s="2">
        <v>132.9</v>
      </c>
      <c r="I270" s="2">
        <v>151.80000000000001</v>
      </c>
      <c r="J270" s="2">
        <v>171.2</v>
      </c>
      <c r="K270" s="2">
        <v>152</v>
      </c>
      <c r="L270" s="2">
        <v>116.3</v>
      </c>
      <c r="M270" s="2">
        <v>158.80000000000001</v>
      </c>
      <c r="N270" s="2">
        <v>135.6</v>
      </c>
      <c r="O270" s="2">
        <v>161.69999999999999</v>
      </c>
      <c r="P270" s="2">
        <v>157</v>
      </c>
      <c r="Q270" s="2">
        <v>186.7</v>
      </c>
      <c r="R270" s="2">
        <v>149.1</v>
      </c>
      <c r="S270" s="2">
        <v>136.6</v>
      </c>
      <c r="T270" s="2">
        <v>147.19999999999999</v>
      </c>
      <c r="U270" s="2">
        <v>154.69999999999999</v>
      </c>
      <c r="V270" s="2">
        <v>137.1</v>
      </c>
      <c r="W270" s="2">
        <v>140.4</v>
      </c>
      <c r="X270" s="2">
        <v>148.1</v>
      </c>
      <c r="Y270" s="2">
        <v>129.30000000000001</v>
      </c>
      <c r="Z270" s="2">
        <v>144.5</v>
      </c>
      <c r="AA270" s="2">
        <v>152.5</v>
      </c>
      <c r="AB270" s="2">
        <v>152.19999999999999</v>
      </c>
      <c r="AC270" s="2">
        <v>142</v>
      </c>
      <c r="AD270" s="2">
        <v>150.80000000000001</v>
      </c>
    </row>
    <row r="271" spans="1:30" ht="26.5" thickBot="1" x14ac:dyDescent="0.4">
      <c r="A271" s="1" t="s">
        <v>34</v>
      </c>
      <c r="B271" s="2">
        <v>2020</v>
      </c>
      <c r="C271" s="1" t="s">
        <v>40</v>
      </c>
      <c r="D271" s="2">
        <v>149.6</v>
      </c>
      <c r="E271" s="2">
        <v>192.7</v>
      </c>
      <c r="F271" s="2">
        <v>151.4</v>
      </c>
      <c r="G271" s="2">
        <v>153.30000000000001</v>
      </c>
      <c r="H271" s="2">
        <v>136.30000000000001</v>
      </c>
      <c r="I271" s="2">
        <v>147.19999999999999</v>
      </c>
      <c r="J271" s="2">
        <v>156.5</v>
      </c>
      <c r="K271" s="2">
        <v>150.9</v>
      </c>
      <c r="L271" s="2">
        <v>114.2</v>
      </c>
      <c r="M271" s="2">
        <v>159.5</v>
      </c>
      <c r="N271" s="2">
        <v>139.4</v>
      </c>
      <c r="O271" s="2">
        <v>161.80000000000001</v>
      </c>
      <c r="P271" s="2">
        <v>154</v>
      </c>
      <c r="Q271" s="2">
        <v>183.5</v>
      </c>
      <c r="R271" s="2">
        <v>152.5</v>
      </c>
      <c r="S271" s="2">
        <v>144.4</v>
      </c>
      <c r="T271" s="2">
        <v>151.4</v>
      </c>
      <c r="U271" s="2">
        <v>154.69999999999999</v>
      </c>
      <c r="V271" s="2">
        <v>141.9</v>
      </c>
      <c r="W271" s="2">
        <v>146.4</v>
      </c>
      <c r="X271" s="2">
        <v>154.4</v>
      </c>
      <c r="Y271" s="2">
        <v>135</v>
      </c>
      <c r="Z271" s="2">
        <v>148.30000000000001</v>
      </c>
      <c r="AA271" s="2">
        <v>156.4</v>
      </c>
      <c r="AB271" s="2">
        <v>151.6</v>
      </c>
      <c r="AC271" s="2">
        <v>147</v>
      </c>
      <c r="AD271" s="2">
        <v>151.80000000000001</v>
      </c>
    </row>
    <row r="272" spans="1:30" ht="15" thickBot="1" x14ac:dyDescent="0.4">
      <c r="A272" s="1" t="s">
        <v>30</v>
      </c>
      <c r="B272" s="2">
        <v>2020</v>
      </c>
      <c r="C272" s="1" t="s">
        <v>41</v>
      </c>
      <c r="D272" s="2">
        <v>147.6</v>
      </c>
      <c r="E272" s="2">
        <v>187.2</v>
      </c>
      <c r="F272" s="2">
        <v>148.4</v>
      </c>
      <c r="G272" s="2">
        <v>153.30000000000001</v>
      </c>
      <c r="H272" s="2">
        <v>139.80000000000001</v>
      </c>
      <c r="I272" s="2">
        <v>146.9</v>
      </c>
      <c r="J272" s="2">
        <v>171</v>
      </c>
      <c r="K272" s="2">
        <v>149.9</v>
      </c>
      <c r="L272" s="2">
        <v>114.2</v>
      </c>
      <c r="M272" s="2">
        <v>160</v>
      </c>
      <c r="N272" s="2">
        <v>143.5</v>
      </c>
      <c r="O272" s="2">
        <v>161.5</v>
      </c>
      <c r="P272" s="2">
        <v>155.30000000000001</v>
      </c>
      <c r="Q272" s="2">
        <v>180.9</v>
      </c>
      <c r="R272" s="2">
        <v>155.1</v>
      </c>
      <c r="S272" s="2">
        <v>149.30000000000001</v>
      </c>
      <c r="T272" s="2">
        <v>154.30000000000001</v>
      </c>
      <c r="U272" s="1" t="s">
        <v>32</v>
      </c>
      <c r="V272" s="2">
        <v>145.80000000000001</v>
      </c>
      <c r="W272" s="2">
        <v>151.9</v>
      </c>
      <c r="X272" s="2">
        <v>158.80000000000001</v>
      </c>
      <c r="Y272" s="2">
        <v>143.6</v>
      </c>
      <c r="Z272" s="2">
        <v>152.19999999999999</v>
      </c>
      <c r="AA272" s="2">
        <v>162.69999999999999</v>
      </c>
      <c r="AB272" s="2">
        <v>153.6</v>
      </c>
      <c r="AC272" s="2">
        <v>153</v>
      </c>
      <c r="AD272" s="2">
        <v>154.69999999999999</v>
      </c>
    </row>
    <row r="273" spans="1:30" ht="15" thickBot="1" x14ac:dyDescent="0.4">
      <c r="A273" s="1" t="s">
        <v>33</v>
      </c>
      <c r="B273" s="2">
        <v>2020</v>
      </c>
      <c r="C273" s="1" t="s">
        <v>41</v>
      </c>
      <c r="D273" s="2">
        <v>151.6</v>
      </c>
      <c r="E273" s="2">
        <v>197.8</v>
      </c>
      <c r="F273" s="2">
        <v>154.5</v>
      </c>
      <c r="G273" s="2">
        <v>153.4</v>
      </c>
      <c r="H273" s="2">
        <v>133.4</v>
      </c>
      <c r="I273" s="2">
        <v>154.5</v>
      </c>
      <c r="J273" s="2">
        <v>191.9</v>
      </c>
      <c r="K273" s="2">
        <v>151.30000000000001</v>
      </c>
      <c r="L273" s="2">
        <v>116.8</v>
      </c>
      <c r="M273" s="2">
        <v>160</v>
      </c>
      <c r="N273" s="2">
        <v>136.5</v>
      </c>
      <c r="O273" s="2">
        <v>163.30000000000001</v>
      </c>
      <c r="P273" s="2">
        <v>159.9</v>
      </c>
      <c r="Q273" s="2">
        <v>187.2</v>
      </c>
      <c r="R273" s="2">
        <v>150</v>
      </c>
      <c r="S273" s="2">
        <v>135.19999999999999</v>
      </c>
      <c r="T273" s="2">
        <v>147.80000000000001</v>
      </c>
      <c r="U273" s="2">
        <v>155.5</v>
      </c>
      <c r="V273" s="2">
        <v>138.30000000000001</v>
      </c>
      <c r="W273" s="2">
        <v>144.5</v>
      </c>
      <c r="X273" s="2">
        <v>148.69999999999999</v>
      </c>
      <c r="Y273" s="2">
        <v>133.9</v>
      </c>
      <c r="Z273" s="2">
        <v>141.19999999999999</v>
      </c>
      <c r="AA273" s="2">
        <v>155.5</v>
      </c>
      <c r="AB273" s="2">
        <v>155.19999999999999</v>
      </c>
      <c r="AC273" s="2">
        <v>144.80000000000001</v>
      </c>
      <c r="AD273" s="2">
        <v>152.9</v>
      </c>
    </row>
    <row r="274" spans="1:30" ht="26.5" thickBot="1" x14ac:dyDescent="0.4">
      <c r="A274" s="1" t="s">
        <v>34</v>
      </c>
      <c r="B274" s="2">
        <v>2020</v>
      </c>
      <c r="C274" s="1" t="s">
        <v>41</v>
      </c>
      <c r="D274" s="2">
        <v>148.9</v>
      </c>
      <c r="E274" s="2">
        <v>190.9</v>
      </c>
      <c r="F274" s="2">
        <v>150.80000000000001</v>
      </c>
      <c r="G274" s="2">
        <v>153.30000000000001</v>
      </c>
      <c r="H274" s="2">
        <v>137.4</v>
      </c>
      <c r="I274" s="2">
        <v>150.4</v>
      </c>
      <c r="J274" s="2">
        <v>178.1</v>
      </c>
      <c r="K274" s="2">
        <v>150.4</v>
      </c>
      <c r="L274" s="2">
        <v>115.1</v>
      </c>
      <c r="M274" s="2">
        <v>160</v>
      </c>
      <c r="N274" s="2">
        <v>140.6</v>
      </c>
      <c r="O274" s="2">
        <v>162.30000000000001</v>
      </c>
      <c r="P274" s="2">
        <v>157</v>
      </c>
      <c r="Q274" s="2">
        <v>182.6</v>
      </c>
      <c r="R274" s="2">
        <v>153.1</v>
      </c>
      <c r="S274" s="2">
        <v>143.4</v>
      </c>
      <c r="T274" s="2">
        <v>151.69999999999999</v>
      </c>
      <c r="U274" s="2">
        <v>155.5</v>
      </c>
      <c r="V274" s="2">
        <v>143</v>
      </c>
      <c r="W274" s="2">
        <v>148.4</v>
      </c>
      <c r="X274" s="2">
        <v>155</v>
      </c>
      <c r="Y274" s="2">
        <v>138.5</v>
      </c>
      <c r="Z274" s="2">
        <v>146</v>
      </c>
      <c r="AA274" s="2">
        <v>158.5</v>
      </c>
      <c r="AB274" s="2">
        <v>154.30000000000001</v>
      </c>
      <c r="AC274" s="2">
        <v>149</v>
      </c>
      <c r="AD274" s="2">
        <v>153.9</v>
      </c>
    </row>
    <row r="275" spans="1:30" ht="26.5" thickBot="1" x14ac:dyDescent="0.4">
      <c r="A275" s="1" t="s">
        <v>30</v>
      </c>
      <c r="B275" s="2">
        <v>2020</v>
      </c>
      <c r="C275" s="1" t="s">
        <v>42</v>
      </c>
      <c r="D275" s="2">
        <v>146.9</v>
      </c>
      <c r="E275" s="2">
        <v>183.9</v>
      </c>
      <c r="F275" s="2">
        <v>149.5</v>
      </c>
      <c r="G275" s="2">
        <v>153.4</v>
      </c>
      <c r="H275" s="2">
        <v>140.4</v>
      </c>
      <c r="I275" s="2">
        <v>147</v>
      </c>
      <c r="J275" s="2">
        <v>178.8</v>
      </c>
      <c r="K275" s="2">
        <v>149.30000000000001</v>
      </c>
      <c r="L275" s="2">
        <v>115.1</v>
      </c>
      <c r="M275" s="2">
        <v>160</v>
      </c>
      <c r="N275" s="2">
        <v>145.4</v>
      </c>
      <c r="O275" s="2">
        <v>161.6</v>
      </c>
      <c r="P275" s="2">
        <v>156.1</v>
      </c>
      <c r="Q275" s="2">
        <v>182.9</v>
      </c>
      <c r="R275" s="2">
        <v>155.4</v>
      </c>
      <c r="S275" s="2">
        <v>149.9</v>
      </c>
      <c r="T275" s="2">
        <v>154.6</v>
      </c>
      <c r="U275" s="1" t="s">
        <v>32</v>
      </c>
      <c r="V275" s="2">
        <v>146.4</v>
      </c>
      <c r="W275" s="2">
        <v>151.6</v>
      </c>
      <c r="X275" s="2">
        <v>159.1</v>
      </c>
      <c r="Y275" s="2">
        <v>144.6</v>
      </c>
      <c r="Z275" s="2">
        <v>152.80000000000001</v>
      </c>
      <c r="AA275" s="2">
        <v>161.1</v>
      </c>
      <c r="AB275" s="2">
        <v>157.4</v>
      </c>
      <c r="AC275" s="2">
        <v>153.69999999999999</v>
      </c>
      <c r="AD275" s="2">
        <v>155.4</v>
      </c>
    </row>
    <row r="276" spans="1:30" ht="26.5" thickBot="1" x14ac:dyDescent="0.4">
      <c r="A276" s="1" t="s">
        <v>33</v>
      </c>
      <c r="B276" s="2">
        <v>2020</v>
      </c>
      <c r="C276" s="1" t="s">
        <v>42</v>
      </c>
      <c r="D276" s="2">
        <v>151.5</v>
      </c>
      <c r="E276" s="2">
        <v>193.1</v>
      </c>
      <c r="F276" s="2">
        <v>157.30000000000001</v>
      </c>
      <c r="G276" s="2">
        <v>153.9</v>
      </c>
      <c r="H276" s="2">
        <v>134.4</v>
      </c>
      <c r="I276" s="2">
        <v>155.4</v>
      </c>
      <c r="J276" s="2">
        <v>202</v>
      </c>
      <c r="K276" s="2">
        <v>150.80000000000001</v>
      </c>
      <c r="L276" s="2">
        <v>118.9</v>
      </c>
      <c r="M276" s="2">
        <v>160.9</v>
      </c>
      <c r="N276" s="2">
        <v>137.69999999999999</v>
      </c>
      <c r="O276" s="2">
        <v>164.4</v>
      </c>
      <c r="P276" s="2">
        <v>161.30000000000001</v>
      </c>
      <c r="Q276" s="2">
        <v>188.7</v>
      </c>
      <c r="R276" s="2">
        <v>150.19999999999999</v>
      </c>
      <c r="S276" s="2">
        <v>136.30000000000001</v>
      </c>
      <c r="T276" s="2">
        <v>148.1</v>
      </c>
      <c r="U276" s="2">
        <v>156.30000000000001</v>
      </c>
      <c r="V276" s="2">
        <v>137.19999999999999</v>
      </c>
      <c r="W276" s="2">
        <v>145.4</v>
      </c>
      <c r="X276" s="2">
        <v>150</v>
      </c>
      <c r="Y276" s="2">
        <v>135.1</v>
      </c>
      <c r="Z276" s="2">
        <v>141.80000000000001</v>
      </c>
      <c r="AA276" s="2">
        <v>154.9</v>
      </c>
      <c r="AB276" s="2">
        <v>159.80000000000001</v>
      </c>
      <c r="AC276" s="2">
        <v>146</v>
      </c>
      <c r="AD276" s="2">
        <v>154</v>
      </c>
    </row>
    <row r="277" spans="1:30" ht="26.5" thickBot="1" x14ac:dyDescent="0.4">
      <c r="A277" s="1" t="s">
        <v>34</v>
      </c>
      <c r="B277" s="2">
        <v>2020</v>
      </c>
      <c r="C277" s="1" t="s">
        <v>42</v>
      </c>
      <c r="D277" s="2">
        <v>148.4</v>
      </c>
      <c r="E277" s="2">
        <v>187.1</v>
      </c>
      <c r="F277" s="2">
        <v>152.5</v>
      </c>
      <c r="G277" s="2">
        <v>153.6</v>
      </c>
      <c r="H277" s="2">
        <v>138.19999999999999</v>
      </c>
      <c r="I277" s="2">
        <v>150.9</v>
      </c>
      <c r="J277" s="2">
        <v>186.7</v>
      </c>
      <c r="K277" s="2">
        <v>149.80000000000001</v>
      </c>
      <c r="L277" s="2">
        <v>116.4</v>
      </c>
      <c r="M277" s="2">
        <v>160.30000000000001</v>
      </c>
      <c r="N277" s="2">
        <v>142.19999999999999</v>
      </c>
      <c r="O277" s="2">
        <v>162.9</v>
      </c>
      <c r="P277" s="2">
        <v>158</v>
      </c>
      <c r="Q277" s="2">
        <v>184.4</v>
      </c>
      <c r="R277" s="2">
        <v>153.4</v>
      </c>
      <c r="S277" s="2">
        <v>144.30000000000001</v>
      </c>
      <c r="T277" s="2">
        <v>152</v>
      </c>
      <c r="U277" s="2">
        <v>156.30000000000001</v>
      </c>
      <c r="V277" s="2">
        <v>142.9</v>
      </c>
      <c r="W277" s="2">
        <v>148.69999999999999</v>
      </c>
      <c r="X277" s="2">
        <v>155.6</v>
      </c>
      <c r="Y277" s="2">
        <v>139.6</v>
      </c>
      <c r="Z277" s="2">
        <v>146.6</v>
      </c>
      <c r="AA277" s="2">
        <v>157.5</v>
      </c>
      <c r="AB277" s="2">
        <v>158.4</v>
      </c>
      <c r="AC277" s="2">
        <v>150</v>
      </c>
      <c r="AD277" s="2">
        <v>154.69999999999999</v>
      </c>
    </row>
    <row r="278" spans="1:30" ht="15" thickBot="1" x14ac:dyDescent="0.4">
      <c r="A278" s="1" t="s">
        <v>30</v>
      </c>
      <c r="B278" s="2">
        <v>2020</v>
      </c>
      <c r="C278" s="1" t="s">
        <v>43</v>
      </c>
      <c r="D278" s="2">
        <v>146</v>
      </c>
      <c r="E278" s="2">
        <v>186.3</v>
      </c>
      <c r="F278" s="2">
        <v>159.19999999999999</v>
      </c>
      <c r="G278" s="2">
        <v>153.6</v>
      </c>
      <c r="H278" s="2">
        <v>142.6</v>
      </c>
      <c r="I278" s="2">
        <v>147.19999999999999</v>
      </c>
      <c r="J278" s="2">
        <v>200.6</v>
      </c>
      <c r="K278" s="2">
        <v>150.30000000000001</v>
      </c>
      <c r="L278" s="2">
        <v>115.3</v>
      </c>
      <c r="M278" s="2">
        <v>160.9</v>
      </c>
      <c r="N278" s="2">
        <v>147.4</v>
      </c>
      <c r="O278" s="2">
        <v>161.9</v>
      </c>
      <c r="P278" s="2">
        <v>159.6</v>
      </c>
      <c r="Q278" s="2">
        <v>182.7</v>
      </c>
      <c r="R278" s="2">
        <v>155.69999999999999</v>
      </c>
      <c r="S278" s="2">
        <v>150.6</v>
      </c>
      <c r="T278" s="2">
        <v>155</v>
      </c>
      <c r="U278" s="1" t="s">
        <v>32</v>
      </c>
      <c r="V278" s="2">
        <v>146.80000000000001</v>
      </c>
      <c r="W278" s="2">
        <v>152</v>
      </c>
      <c r="X278" s="2">
        <v>159.5</v>
      </c>
      <c r="Y278" s="2">
        <v>146.4</v>
      </c>
      <c r="Z278" s="2">
        <v>152.4</v>
      </c>
      <c r="AA278" s="2">
        <v>162.5</v>
      </c>
      <c r="AB278" s="2">
        <v>156.19999999999999</v>
      </c>
      <c r="AC278" s="2">
        <v>154.30000000000001</v>
      </c>
      <c r="AD278" s="2">
        <v>157.5</v>
      </c>
    </row>
    <row r="279" spans="1:30" ht="15" thickBot="1" x14ac:dyDescent="0.4">
      <c r="A279" s="1" t="s">
        <v>33</v>
      </c>
      <c r="B279" s="2">
        <v>2020</v>
      </c>
      <c r="C279" s="1" t="s">
        <v>43</v>
      </c>
      <c r="D279" s="2">
        <v>150.6</v>
      </c>
      <c r="E279" s="2">
        <v>193.7</v>
      </c>
      <c r="F279" s="2">
        <v>164.8</v>
      </c>
      <c r="G279" s="2">
        <v>153.69999999999999</v>
      </c>
      <c r="H279" s="2">
        <v>135.69999999999999</v>
      </c>
      <c r="I279" s="2">
        <v>155.69999999999999</v>
      </c>
      <c r="J279" s="2">
        <v>226</v>
      </c>
      <c r="K279" s="2">
        <v>152.19999999999999</v>
      </c>
      <c r="L279" s="2">
        <v>118.1</v>
      </c>
      <c r="M279" s="2">
        <v>161.30000000000001</v>
      </c>
      <c r="N279" s="2">
        <v>139.19999999999999</v>
      </c>
      <c r="O279" s="2">
        <v>164.8</v>
      </c>
      <c r="P279" s="2">
        <v>164.4</v>
      </c>
      <c r="Q279" s="2">
        <v>188.7</v>
      </c>
      <c r="R279" s="2">
        <v>150.5</v>
      </c>
      <c r="S279" s="2">
        <v>136.1</v>
      </c>
      <c r="T279" s="2">
        <v>148.30000000000001</v>
      </c>
      <c r="U279" s="2">
        <v>156.5</v>
      </c>
      <c r="V279" s="2">
        <v>137.1</v>
      </c>
      <c r="W279" s="2">
        <v>145.1</v>
      </c>
      <c r="X279" s="2">
        <v>151</v>
      </c>
      <c r="Y279" s="2">
        <v>135.4</v>
      </c>
      <c r="Z279" s="2">
        <v>142</v>
      </c>
      <c r="AA279" s="2">
        <v>155.69999999999999</v>
      </c>
      <c r="AB279" s="2">
        <v>158.1</v>
      </c>
      <c r="AC279" s="2">
        <v>146.19999999999999</v>
      </c>
      <c r="AD279" s="2">
        <v>155.19999999999999</v>
      </c>
    </row>
    <row r="280" spans="1:30" ht="26.5" thickBot="1" x14ac:dyDescent="0.4">
      <c r="A280" s="1" t="s">
        <v>34</v>
      </c>
      <c r="B280" s="2">
        <v>2020</v>
      </c>
      <c r="C280" s="1" t="s">
        <v>43</v>
      </c>
      <c r="D280" s="2">
        <v>147.5</v>
      </c>
      <c r="E280" s="2">
        <v>188.9</v>
      </c>
      <c r="F280" s="2">
        <v>161.4</v>
      </c>
      <c r="G280" s="2">
        <v>153.6</v>
      </c>
      <c r="H280" s="2">
        <v>140.1</v>
      </c>
      <c r="I280" s="2">
        <v>151.19999999999999</v>
      </c>
      <c r="J280" s="2">
        <v>209.2</v>
      </c>
      <c r="K280" s="2">
        <v>150.9</v>
      </c>
      <c r="L280" s="2">
        <v>116.2</v>
      </c>
      <c r="M280" s="2">
        <v>161</v>
      </c>
      <c r="N280" s="2">
        <v>144</v>
      </c>
      <c r="O280" s="2">
        <v>163.19999999999999</v>
      </c>
      <c r="P280" s="2">
        <v>161.4</v>
      </c>
      <c r="Q280" s="2">
        <v>184.3</v>
      </c>
      <c r="R280" s="2">
        <v>153.69999999999999</v>
      </c>
      <c r="S280" s="2">
        <v>144.6</v>
      </c>
      <c r="T280" s="2">
        <v>152.30000000000001</v>
      </c>
      <c r="U280" s="2">
        <v>156.5</v>
      </c>
      <c r="V280" s="2">
        <v>143.1</v>
      </c>
      <c r="W280" s="2">
        <v>148.69999999999999</v>
      </c>
      <c r="X280" s="2">
        <v>156.30000000000001</v>
      </c>
      <c r="Y280" s="2">
        <v>140.6</v>
      </c>
      <c r="Z280" s="2">
        <v>146.5</v>
      </c>
      <c r="AA280" s="2">
        <v>158.5</v>
      </c>
      <c r="AB280" s="2">
        <v>157</v>
      </c>
      <c r="AC280" s="2">
        <v>150.4</v>
      </c>
      <c r="AD280" s="2">
        <v>156.4</v>
      </c>
    </row>
    <row r="281" spans="1:30" ht="26.5" thickBot="1" x14ac:dyDescent="0.4">
      <c r="A281" s="1" t="s">
        <v>30</v>
      </c>
      <c r="B281" s="2">
        <v>2020</v>
      </c>
      <c r="C281" s="1" t="s">
        <v>44</v>
      </c>
      <c r="D281" s="2">
        <v>145.4</v>
      </c>
      <c r="E281" s="2">
        <v>188.6</v>
      </c>
      <c r="F281" s="2">
        <v>171.6</v>
      </c>
      <c r="G281" s="2">
        <v>153.80000000000001</v>
      </c>
      <c r="H281" s="2">
        <v>145.4</v>
      </c>
      <c r="I281" s="2">
        <v>146.5</v>
      </c>
      <c r="J281" s="2">
        <v>222.2</v>
      </c>
      <c r="K281" s="2">
        <v>155.9</v>
      </c>
      <c r="L281" s="2">
        <v>114.9</v>
      </c>
      <c r="M281" s="2">
        <v>162</v>
      </c>
      <c r="N281" s="2">
        <v>150</v>
      </c>
      <c r="O281" s="2">
        <v>162.69999999999999</v>
      </c>
      <c r="P281" s="2">
        <v>163.4</v>
      </c>
      <c r="Q281" s="2">
        <v>183.4</v>
      </c>
      <c r="R281" s="2">
        <v>156.30000000000001</v>
      </c>
      <c r="S281" s="2">
        <v>151</v>
      </c>
      <c r="T281" s="2">
        <v>155.5</v>
      </c>
      <c r="U281" s="1" t="s">
        <v>32</v>
      </c>
      <c r="V281" s="2">
        <v>147.5</v>
      </c>
      <c r="W281" s="2">
        <v>152.80000000000001</v>
      </c>
      <c r="X281" s="2">
        <v>160.4</v>
      </c>
      <c r="Y281" s="2">
        <v>146.1</v>
      </c>
      <c r="Z281" s="2">
        <v>153.6</v>
      </c>
      <c r="AA281" s="2">
        <v>161.6</v>
      </c>
      <c r="AB281" s="2">
        <v>156.19999999999999</v>
      </c>
      <c r="AC281" s="2">
        <v>154.5</v>
      </c>
      <c r="AD281" s="2">
        <v>159.80000000000001</v>
      </c>
    </row>
    <row r="282" spans="1:30" ht="26.5" thickBot="1" x14ac:dyDescent="0.4">
      <c r="A282" s="1" t="s">
        <v>33</v>
      </c>
      <c r="B282" s="2">
        <v>2020</v>
      </c>
      <c r="C282" s="1" t="s">
        <v>44</v>
      </c>
      <c r="D282" s="2">
        <v>149.69999999999999</v>
      </c>
      <c r="E282" s="2">
        <v>195.5</v>
      </c>
      <c r="F282" s="2">
        <v>176.9</v>
      </c>
      <c r="G282" s="2">
        <v>153.9</v>
      </c>
      <c r="H282" s="2">
        <v>138</v>
      </c>
      <c r="I282" s="2">
        <v>150.5</v>
      </c>
      <c r="J282" s="2">
        <v>245.3</v>
      </c>
      <c r="K282" s="2">
        <v>158.69999999999999</v>
      </c>
      <c r="L282" s="2">
        <v>117.2</v>
      </c>
      <c r="M282" s="2">
        <v>161.4</v>
      </c>
      <c r="N282" s="2">
        <v>141.5</v>
      </c>
      <c r="O282" s="2">
        <v>165.1</v>
      </c>
      <c r="P282" s="2">
        <v>167</v>
      </c>
      <c r="Q282" s="2">
        <v>188.8</v>
      </c>
      <c r="R282" s="2">
        <v>151.1</v>
      </c>
      <c r="S282" s="2">
        <v>136.4</v>
      </c>
      <c r="T282" s="2">
        <v>148.80000000000001</v>
      </c>
      <c r="U282" s="2">
        <v>158</v>
      </c>
      <c r="V282" s="2">
        <v>137.30000000000001</v>
      </c>
      <c r="W282" s="2">
        <v>145.1</v>
      </c>
      <c r="X282" s="2">
        <v>152</v>
      </c>
      <c r="Y282" s="2">
        <v>135.19999999999999</v>
      </c>
      <c r="Z282" s="2">
        <v>144.4</v>
      </c>
      <c r="AA282" s="2">
        <v>156.4</v>
      </c>
      <c r="AB282" s="2">
        <v>157.9</v>
      </c>
      <c r="AC282" s="2">
        <v>146.6</v>
      </c>
      <c r="AD282" s="2">
        <v>156.69999999999999</v>
      </c>
    </row>
    <row r="283" spans="1:30" ht="26.5" thickBot="1" x14ac:dyDescent="0.4">
      <c r="A283" s="1" t="s">
        <v>34</v>
      </c>
      <c r="B283" s="2">
        <v>2020</v>
      </c>
      <c r="C283" s="1" t="s">
        <v>44</v>
      </c>
      <c r="D283" s="2">
        <v>146.80000000000001</v>
      </c>
      <c r="E283" s="2">
        <v>191</v>
      </c>
      <c r="F283" s="2">
        <v>173.6</v>
      </c>
      <c r="G283" s="2">
        <v>153.80000000000001</v>
      </c>
      <c r="H283" s="2">
        <v>142.69999999999999</v>
      </c>
      <c r="I283" s="2">
        <v>148.4</v>
      </c>
      <c r="J283" s="2">
        <v>230</v>
      </c>
      <c r="K283" s="2">
        <v>156.80000000000001</v>
      </c>
      <c r="L283" s="2">
        <v>115.7</v>
      </c>
      <c r="M283" s="2">
        <v>161.80000000000001</v>
      </c>
      <c r="N283" s="2">
        <v>146.5</v>
      </c>
      <c r="O283" s="2">
        <v>163.80000000000001</v>
      </c>
      <c r="P283" s="2">
        <v>164.7</v>
      </c>
      <c r="Q283" s="2">
        <v>184.8</v>
      </c>
      <c r="R283" s="2">
        <v>154.30000000000001</v>
      </c>
      <c r="S283" s="2">
        <v>144.9</v>
      </c>
      <c r="T283" s="2">
        <v>152.80000000000001</v>
      </c>
      <c r="U283" s="2">
        <v>158</v>
      </c>
      <c r="V283" s="2">
        <v>143.6</v>
      </c>
      <c r="W283" s="2">
        <v>149.19999999999999</v>
      </c>
      <c r="X283" s="2">
        <v>157.19999999999999</v>
      </c>
      <c r="Y283" s="2">
        <v>140.4</v>
      </c>
      <c r="Z283" s="2">
        <v>148.4</v>
      </c>
      <c r="AA283" s="2">
        <v>158.6</v>
      </c>
      <c r="AB283" s="2">
        <v>156.9</v>
      </c>
      <c r="AC283" s="2">
        <v>150.69999999999999</v>
      </c>
      <c r="AD283" s="2">
        <v>158.4</v>
      </c>
    </row>
    <row r="284" spans="1:30" ht="26.5" thickBot="1" x14ac:dyDescent="0.4">
      <c r="A284" s="1" t="s">
        <v>30</v>
      </c>
      <c r="B284" s="2">
        <v>2020</v>
      </c>
      <c r="C284" s="1" t="s">
        <v>45</v>
      </c>
      <c r="D284" s="2">
        <v>144.6</v>
      </c>
      <c r="E284" s="2">
        <v>188.5</v>
      </c>
      <c r="F284" s="2">
        <v>173.4</v>
      </c>
      <c r="G284" s="2">
        <v>154</v>
      </c>
      <c r="H284" s="2">
        <v>150</v>
      </c>
      <c r="I284" s="2">
        <v>145.9</v>
      </c>
      <c r="J284" s="2">
        <v>225.2</v>
      </c>
      <c r="K284" s="2">
        <v>159.5</v>
      </c>
      <c r="L284" s="2">
        <v>114.4</v>
      </c>
      <c r="M284" s="2">
        <v>163.5</v>
      </c>
      <c r="N284" s="2">
        <v>153.4</v>
      </c>
      <c r="O284" s="2">
        <v>163.6</v>
      </c>
      <c r="P284" s="2">
        <v>164.5</v>
      </c>
      <c r="Q284" s="2">
        <v>183.6</v>
      </c>
      <c r="R284" s="2">
        <v>157</v>
      </c>
      <c r="S284" s="2">
        <v>151.6</v>
      </c>
      <c r="T284" s="2">
        <v>156.30000000000001</v>
      </c>
      <c r="U284" s="1" t="s">
        <v>32</v>
      </c>
      <c r="V284" s="2">
        <v>148.69999999999999</v>
      </c>
      <c r="W284" s="2">
        <v>153.4</v>
      </c>
      <c r="X284" s="2">
        <v>161.6</v>
      </c>
      <c r="Y284" s="2">
        <v>146.4</v>
      </c>
      <c r="Z284" s="2">
        <v>153.9</v>
      </c>
      <c r="AA284" s="2">
        <v>162.9</v>
      </c>
      <c r="AB284" s="2">
        <v>156.6</v>
      </c>
      <c r="AC284" s="2">
        <v>155.19999999999999</v>
      </c>
      <c r="AD284" s="2">
        <v>160.69999999999999</v>
      </c>
    </row>
    <row r="285" spans="1:30" ht="26.5" thickBot="1" x14ac:dyDescent="0.4">
      <c r="A285" s="1" t="s">
        <v>33</v>
      </c>
      <c r="B285" s="2">
        <v>2020</v>
      </c>
      <c r="C285" s="1" t="s">
        <v>45</v>
      </c>
      <c r="D285" s="2">
        <v>149</v>
      </c>
      <c r="E285" s="2">
        <v>195.7</v>
      </c>
      <c r="F285" s="2">
        <v>178.3</v>
      </c>
      <c r="G285" s="2">
        <v>154.19999999999999</v>
      </c>
      <c r="H285" s="2">
        <v>140.69999999999999</v>
      </c>
      <c r="I285" s="2">
        <v>149.69999999999999</v>
      </c>
      <c r="J285" s="2">
        <v>240.9</v>
      </c>
      <c r="K285" s="2">
        <v>161.5</v>
      </c>
      <c r="L285" s="2">
        <v>117.1</v>
      </c>
      <c r="M285" s="2">
        <v>161.9</v>
      </c>
      <c r="N285" s="2">
        <v>143.30000000000001</v>
      </c>
      <c r="O285" s="2">
        <v>166.1</v>
      </c>
      <c r="P285" s="2">
        <v>167</v>
      </c>
      <c r="Q285" s="2">
        <v>190.2</v>
      </c>
      <c r="R285" s="2">
        <v>151.9</v>
      </c>
      <c r="S285" s="2">
        <v>136.69999999999999</v>
      </c>
      <c r="T285" s="2">
        <v>149.6</v>
      </c>
      <c r="U285" s="2">
        <v>158.4</v>
      </c>
      <c r="V285" s="2">
        <v>137.9</v>
      </c>
      <c r="W285" s="2">
        <v>145.5</v>
      </c>
      <c r="X285" s="2">
        <v>152.9</v>
      </c>
      <c r="Y285" s="2">
        <v>135.5</v>
      </c>
      <c r="Z285" s="2">
        <v>144.30000000000001</v>
      </c>
      <c r="AA285" s="2">
        <v>156.9</v>
      </c>
      <c r="AB285" s="2">
        <v>157.9</v>
      </c>
      <c r="AC285" s="2">
        <v>146.9</v>
      </c>
      <c r="AD285" s="2">
        <v>156.9</v>
      </c>
    </row>
    <row r="286" spans="1:30" ht="26.5" thickBot="1" x14ac:dyDescent="0.4">
      <c r="A286" s="1" t="s">
        <v>34</v>
      </c>
      <c r="B286" s="2">
        <v>2020</v>
      </c>
      <c r="C286" s="1" t="s">
        <v>45</v>
      </c>
      <c r="D286" s="2">
        <v>146</v>
      </c>
      <c r="E286" s="2">
        <v>191</v>
      </c>
      <c r="F286" s="2">
        <v>175.3</v>
      </c>
      <c r="G286" s="2">
        <v>154.1</v>
      </c>
      <c r="H286" s="2">
        <v>146.6</v>
      </c>
      <c r="I286" s="2">
        <v>147.69999999999999</v>
      </c>
      <c r="J286" s="2">
        <v>230.5</v>
      </c>
      <c r="K286" s="2">
        <v>160.19999999999999</v>
      </c>
      <c r="L286" s="2">
        <v>115.3</v>
      </c>
      <c r="M286" s="2">
        <v>163</v>
      </c>
      <c r="N286" s="2">
        <v>149.19999999999999</v>
      </c>
      <c r="O286" s="2">
        <v>164.8</v>
      </c>
      <c r="P286" s="2">
        <v>165.4</v>
      </c>
      <c r="Q286" s="2">
        <v>185.4</v>
      </c>
      <c r="R286" s="2">
        <v>155</v>
      </c>
      <c r="S286" s="2">
        <v>145.4</v>
      </c>
      <c r="T286" s="2">
        <v>153.6</v>
      </c>
      <c r="U286" s="2">
        <v>158.4</v>
      </c>
      <c r="V286" s="2">
        <v>144.6</v>
      </c>
      <c r="W286" s="2">
        <v>149.69999999999999</v>
      </c>
      <c r="X286" s="2">
        <v>158.30000000000001</v>
      </c>
      <c r="Y286" s="2">
        <v>140.69999999999999</v>
      </c>
      <c r="Z286" s="2">
        <v>148.5</v>
      </c>
      <c r="AA286" s="2">
        <v>159.4</v>
      </c>
      <c r="AB286" s="2">
        <v>157.1</v>
      </c>
      <c r="AC286" s="2">
        <v>151.19999999999999</v>
      </c>
      <c r="AD286" s="2">
        <v>158.9</v>
      </c>
    </row>
    <row r="287" spans="1:30" ht="15" thickBot="1" x14ac:dyDescent="0.4">
      <c r="A287" s="1" t="s">
        <v>30</v>
      </c>
      <c r="B287" s="2">
        <v>2021</v>
      </c>
      <c r="C287" s="1" t="s">
        <v>31</v>
      </c>
      <c r="D287" s="2">
        <v>143.4</v>
      </c>
      <c r="E287" s="2">
        <v>187.5</v>
      </c>
      <c r="F287" s="2">
        <v>173.4</v>
      </c>
      <c r="G287" s="2">
        <v>154</v>
      </c>
      <c r="H287" s="2">
        <v>154.80000000000001</v>
      </c>
      <c r="I287" s="2">
        <v>147</v>
      </c>
      <c r="J287" s="2">
        <v>187.8</v>
      </c>
      <c r="K287" s="2">
        <v>159.5</v>
      </c>
      <c r="L287" s="2">
        <v>113.8</v>
      </c>
      <c r="M287" s="2">
        <v>164.5</v>
      </c>
      <c r="N287" s="2">
        <v>156.1</v>
      </c>
      <c r="O287" s="2">
        <v>164.3</v>
      </c>
      <c r="P287" s="2">
        <v>159.6</v>
      </c>
      <c r="Q287" s="2">
        <v>184.6</v>
      </c>
      <c r="R287" s="2">
        <v>157.5</v>
      </c>
      <c r="S287" s="2">
        <v>152.4</v>
      </c>
      <c r="T287" s="2">
        <v>156.80000000000001</v>
      </c>
      <c r="U287" s="1" t="s">
        <v>32</v>
      </c>
      <c r="V287" s="2">
        <v>150.9</v>
      </c>
      <c r="W287" s="2">
        <v>153.9</v>
      </c>
      <c r="X287" s="2">
        <v>162.5</v>
      </c>
      <c r="Y287" s="2">
        <v>147.5</v>
      </c>
      <c r="Z287" s="2">
        <v>155.1</v>
      </c>
      <c r="AA287" s="2">
        <v>163.5</v>
      </c>
      <c r="AB287" s="2">
        <v>156.19999999999999</v>
      </c>
      <c r="AC287" s="2">
        <v>155.9</v>
      </c>
      <c r="AD287" s="2">
        <v>158.5</v>
      </c>
    </row>
    <row r="288" spans="1:30" ht="15" thickBot="1" x14ac:dyDescent="0.4">
      <c r="A288" s="1" t="s">
        <v>33</v>
      </c>
      <c r="B288" s="2">
        <v>2021</v>
      </c>
      <c r="C288" s="1" t="s">
        <v>31</v>
      </c>
      <c r="D288" s="2">
        <v>148</v>
      </c>
      <c r="E288" s="2">
        <v>194.8</v>
      </c>
      <c r="F288" s="2">
        <v>178.4</v>
      </c>
      <c r="G288" s="2">
        <v>154.4</v>
      </c>
      <c r="H288" s="2">
        <v>144.1</v>
      </c>
      <c r="I288" s="2">
        <v>152.6</v>
      </c>
      <c r="J288" s="2">
        <v>206.8</v>
      </c>
      <c r="K288" s="2">
        <v>162.1</v>
      </c>
      <c r="L288" s="2">
        <v>116.3</v>
      </c>
      <c r="M288" s="2">
        <v>163</v>
      </c>
      <c r="N288" s="2">
        <v>145.9</v>
      </c>
      <c r="O288" s="2">
        <v>167.2</v>
      </c>
      <c r="P288" s="2">
        <v>163.4</v>
      </c>
      <c r="Q288" s="2">
        <v>191.8</v>
      </c>
      <c r="R288" s="2">
        <v>152.5</v>
      </c>
      <c r="S288" s="2">
        <v>137.30000000000001</v>
      </c>
      <c r="T288" s="2">
        <v>150.19999999999999</v>
      </c>
      <c r="U288" s="2">
        <v>157.69999999999999</v>
      </c>
      <c r="V288" s="2">
        <v>142.9</v>
      </c>
      <c r="W288" s="2">
        <v>145.69999999999999</v>
      </c>
      <c r="X288" s="2">
        <v>154.1</v>
      </c>
      <c r="Y288" s="2">
        <v>136.9</v>
      </c>
      <c r="Z288" s="2">
        <v>145.4</v>
      </c>
      <c r="AA288" s="2">
        <v>156.1</v>
      </c>
      <c r="AB288" s="2">
        <v>157.69999999999999</v>
      </c>
      <c r="AC288" s="2">
        <v>147.6</v>
      </c>
      <c r="AD288" s="2">
        <v>156</v>
      </c>
    </row>
    <row r="289" spans="1:30" ht="26.5" thickBot="1" x14ac:dyDescent="0.4">
      <c r="A289" s="1" t="s">
        <v>34</v>
      </c>
      <c r="B289" s="2">
        <v>2021</v>
      </c>
      <c r="C289" s="1" t="s">
        <v>31</v>
      </c>
      <c r="D289" s="2">
        <v>144.9</v>
      </c>
      <c r="E289" s="2">
        <v>190.1</v>
      </c>
      <c r="F289" s="2">
        <v>175.3</v>
      </c>
      <c r="G289" s="2">
        <v>154.1</v>
      </c>
      <c r="H289" s="2">
        <v>150.9</v>
      </c>
      <c r="I289" s="2">
        <v>149.6</v>
      </c>
      <c r="J289" s="2">
        <v>194.2</v>
      </c>
      <c r="K289" s="2">
        <v>160.4</v>
      </c>
      <c r="L289" s="2">
        <v>114.6</v>
      </c>
      <c r="M289" s="2">
        <v>164</v>
      </c>
      <c r="N289" s="2">
        <v>151.80000000000001</v>
      </c>
      <c r="O289" s="2">
        <v>165.6</v>
      </c>
      <c r="P289" s="2">
        <v>161</v>
      </c>
      <c r="Q289" s="2">
        <v>186.5</v>
      </c>
      <c r="R289" s="2">
        <v>155.5</v>
      </c>
      <c r="S289" s="2">
        <v>146.1</v>
      </c>
      <c r="T289" s="2">
        <v>154.19999999999999</v>
      </c>
      <c r="U289" s="2">
        <v>157.69999999999999</v>
      </c>
      <c r="V289" s="2">
        <v>147.9</v>
      </c>
      <c r="W289" s="2">
        <v>150</v>
      </c>
      <c r="X289" s="2">
        <v>159.30000000000001</v>
      </c>
      <c r="Y289" s="2">
        <v>141.9</v>
      </c>
      <c r="Z289" s="2">
        <v>149.6</v>
      </c>
      <c r="AA289" s="2">
        <v>159.19999999999999</v>
      </c>
      <c r="AB289" s="2">
        <v>156.80000000000001</v>
      </c>
      <c r="AC289" s="2">
        <v>151.9</v>
      </c>
      <c r="AD289" s="2">
        <v>157.30000000000001</v>
      </c>
    </row>
    <row r="290" spans="1:30" ht="15" thickBot="1" x14ac:dyDescent="0.4">
      <c r="A290" s="1" t="s">
        <v>30</v>
      </c>
      <c r="B290" s="2">
        <v>2021</v>
      </c>
      <c r="C290" s="1" t="s">
        <v>35</v>
      </c>
      <c r="D290" s="2">
        <v>142.80000000000001</v>
      </c>
      <c r="E290" s="2">
        <v>184</v>
      </c>
      <c r="F290" s="2">
        <v>168</v>
      </c>
      <c r="G290" s="2">
        <v>154.4</v>
      </c>
      <c r="H290" s="2">
        <v>163</v>
      </c>
      <c r="I290" s="2">
        <v>147.80000000000001</v>
      </c>
      <c r="J290" s="2">
        <v>149.69999999999999</v>
      </c>
      <c r="K290" s="2">
        <v>158.30000000000001</v>
      </c>
      <c r="L290" s="2">
        <v>111.8</v>
      </c>
      <c r="M290" s="2">
        <v>165</v>
      </c>
      <c r="N290" s="2">
        <v>160</v>
      </c>
      <c r="O290" s="2">
        <v>165.8</v>
      </c>
      <c r="P290" s="2">
        <v>154.69999999999999</v>
      </c>
      <c r="Q290" s="2">
        <v>186.5</v>
      </c>
      <c r="R290" s="2">
        <v>159.1</v>
      </c>
      <c r="S290" s="2">
        <v>153.9</v>
      </c>
      <c r="T290" s="2">
        <v>158.4</v>
      </c>
      <c r="U290" s="1" t="s">
        <v>32</v>
      </c>
      <c r="V290" s="2">
        <v>154.4</v>
      </c>
      <c r="W290" s="2">
        <v>154.80000000000001</v>
      </c>
      <c r="X290" s="2">
        <v>164.3</v>
      </c>
      <c r="Y290" s="2">
        <v>150.19999999999999</v>
      </c>
      <c r="Z290" s="2">
        <v>157</v>
      </c>
      <c r="AA290" s="2">
        <v>163.6</v>
      </c>
      <c r="AB290" s="2">
        <v>155.19999999999999</v>
      </c>
      <c r="AC290" s="2">
        <v>157.19999999999999</v>
      </c>
      <c r="AD290" s="2">
        <v>156.69999999999999</v>
      </c>
    </row>
    <row r="291" spans="1:30" ht="15" thickBot="1" x14ac:dyDescent="0.4">
      <c r="A291" s="1" t="s">
        <v>33</v>
      </c>
      <c r="B291" s="2">
        <v>2021</v>
      </c>
      <c r="C291" s="1" t="s">
        <v>35</v>
      </c>
      <c r="D291" s="2">
        <v>147.6</v>
      </c>
      <c r="E291" s="2">
        <v>191.2</v>
      </c>
      <c r="F291" s="2">
        <v>169.9</v>
      </c>
      <c r="G291" s="2">
        <v>155.1</v>
      </c>
      <c r="H291" s="2">
        <v>151.4</v>
      </c>
      <c r="I291" s="2">
        <v>154</v>
      </c>
      <c r="J291" s="2">
        <v>180.2</v>
      </c>
      <c r="K291" s="2">
        <v>159.80000000000001</v>
      </c>
      <c r="L291" s="2">
        <v>114.9</v>
      </c>
      <c r="M291" s="2">
        <v>162.5</v>
      </c>
      <c r="N291" s="2">
        <v>149.19999999999999</v>
      </c>
      <c r="O291" s="2">
        <v>169.4</v>
      </c>
      <c r="P291" s="2">
        <v>160.80000000000001</v>
      </c>
      <c r="Q291" s="2">
        <v>193.3</v>
      </c>
      <c r="R291" s="2">
        <v>154.19999999999999</v>
      </c>
      <c r="S291" s="2">
        <v>138.19999999999999</v>
      </c>
      <c r="T291" s="2">
        <v>151.80000000000001</v>
      </c>
      <c r="U291" s="2">
        <v>159.80000000000001</v>
      </c>
      <c r="V291" s="2">
        <v>149.1</v>
      </c>
      <c r="W291" s="2">
        <v>146.5</v>
      </c>
      <c r="X291" s="2">
        <v>156.30000000000001</v>
      </c>
      <c r="Y291" s="2">
        <v>140.5</v>
      </c>
      <c r="Z291" s="2">
        <v>147.30000000000001</v>
      </c>
      <c r="AA291" s="2">
        <v>156.6</v>
      </c>
      <c r="AB291" s="2">
        <v>156.69999999999999</v>
      </c>
      <c r="AC291" s="2">
        <v>149.30000000000001</v>
      </c>
      <c r="AD291" s="2">
        <v>156.5</v>
      </c>
    </row>
    <row r="292" spans="1:30" ht="26.5" thickBot="1" x14ac:dyDescent="0.4">
      <c r="A292" s="1" t="s">
        <v>34</v>
      </c>
      <c r="B292" s="2">
        <v>2021</v>
      </c>
      <c r="C292" s="1" t="s">
        <v>35</v>
      </c>
      <c r="D292" s="2">
        <v>144.30000000000001</v>
      </c>
      <c r="E292" s="2">
        <v>186.5</v>
      </c>
      <c r="F292" s="2">
        <v>168.7</v>
      </c>
      <c r="G292" s="2">
        <v>154.69999999999999</v>
      </c>
      <c r="H292" s="2">
        <v>158.69999999999999</v>
      </c>
      <c r="I292" s="2">
        <v>150.69999999999999</v>
      </c>
      <c r="J292" s="2">
        <v>160</v>
      </c>
      <c r="K292" s="2">
        <v>158.80000000000001</v>
      </c>
      <c r="L292" s="2">
        <v>112.8</v>
      </c>
      <c r="M292" s="2">
        <v>164.2</v>
      </c>
      <c r="N292" s="2">
        <v>155.5</v>
      </c>
      <c r="O292" s="2">
        <v>167.5</v>
      </c>
      <c r="P292" s="2">
        <v>156.9</v>
      </c>
      <c r="Q292" s="2">
        <v>188.3</v>
      </c>
      <c r="R292" s="2">
        <v>157.19999999999999</v>
      </c>
      <c r="S292" s="2">
        <v>147.4</v>
      </c>
      <c r="T292" s="2">
        <v>155.80000000000001</v>
      </c>
      <c r="U292" s="2">
        <v>159.80000000000001</v>
      </c>
      <c r="V292" s="2">
        <v>152.4</v>
      </c>
      <c r="W292" s="2">
        <v>150.9</v>
      </c>
      <c r="X292" s="2">
        <v>161.30000000000001</v>
      </c>
      <c r="Y292" s="2">
        <v>145.1</v>
      </c>
      <c r="Z292" s="2">
        <v>151.5</v>
      </c>
      <c r="AA292" s="2">
        <v>159.5</v>
      </c>
      <c r="AB292" s="2">
        <v>155.80000000000001</v>
      </c>
      <c r="AC292" s="2">
        <v>153.4</v>
      </c>
      <c r="AD292" s="2">
        <v>156.6</v>
      </c>
    </row>
    <row r="293" spans="1:30" ht="15" thickBot="1" x14ac:dyDescent="0.4">
      <c r="A293" s="1" t="s">
        <v>30</v>
      </c>
      <c r="B293" s="2">
        <v>2021</v>
      </c>
      <c r="C293" s="1" t="s">
        <v>36</v>
      </c>
      <c r="D293" s="2">
        <v>142.5</v>
      </c>
      <c r="E293" s="2">
        <v>189.4</v>
      </c>
      <c r="F293" s="2">
        <v>163.19999999999999</v>
      </c>
      <c r="G293" s="2">
        <v>154.5</v>
      </c>
      <c r="H293" s="2">
        <v>168.2</v>
      </c>
      <c r="I293" s="2">
        <v>150.5</v>
      </c>
      <c r="J293" s="2">
        <v>141</v>
      </c>
      <c r="K293" s="2">
        <v>159.19999999999999</v>
      </c>
      <c r="L293" s="2">
        <v>111.7</v>
      </c>
      <c r="M293" s="2">
        <v>164</v>
      </c>
      <c r="N293" s="2">
        <v>160.6</v>
      </c>
      <c r="O293" s="2">
        <v>166.4</v>
      </c>
      <c r="P293" s="2">
        <v>154.5</v>
      </c>
      <c r="Q293" s="2">
        <v>186.1</v>
      </c>
      <c r="R293" s="2">
        <v>159.6</v>
      </c>
      <c r="S293" s="2">
        <v>154.4</v>
      </c>
      <c r="T293" s="2">
        <v>158.9</v>
      </c>
      <c r="U293" s="1" t="s">
        <v>47</v>
      </c>
      <c r="V293" s="2">
        <v>156</v>
      </c>
      <c r="W293" s="2">
        <v>154.80000000000001</v>
      </c>
      <c r="X293" s="2">
        <v>164.6</v>
      </c>
      <c r="Y293" s="2">
        <v>151.30000000000001</v>
      </c>
      <c r="Z293" s="2">
        <v>157.80000000000001</v>
      </c>
      <c r="AA293" s="2">
        <v>163.80000000000001</v>
      </c>
      <c r="AB293" s="2">
        <v>153.1</v>
      </c>
      <c r="AC293" s="2">
        <v>157.30000000000001</v>
      </c>
      <c r="AD293" s="2">
        <v>156.69999999999999</v>
      </c>
    </row>
    <row r="294" spans="1:30" ht="15" thickBot="1" x14ac:dyDescent="0.4">
      <c r="A294" s="1" t="s">
        <v>33</v>
      </c>
      <c r="B294" s="2">
        <v>2021</v>
      </c>
      <c r="C294" s="1" t="s">
        <v>36</v>
      </c>
      <c r="D294" s="2">
        <v>147.5</v>
      </c>
      <c r="E294" s="2">
        <v>197.5</v>
      </c>
      <c r="F294" s="2">
        <v>164.7</v>
      </c>
      <c r="G294" s="2">
        <v>155.6</v>
      </c>
      <c r="H294" s="2">
        <v>156.4</v>
      </c>
      <c r="I294" s="2">
        <v>157.30000000000001</v>
      </c>
      <c r="J294" s="2">
        <v>166.1</v>
      </c>
      <c r="K294" s="2">
        <v>161.1</v>
      </c>
      <c r="L294" s="2">
        <v>114.3</v>
      </c>
      <c r="M294" s="2">
        <v>162.6</v>
      </c>
      <c r="N294" s="2">
        <v>150.69999999999999</v>
      </c>
      <c r="O294" s="2">
        <v>170.3</v>
      </c>
      <c r="P294" s="2">
        <v>160.4</v>
      </c>
      <c r="Q294" s="2">
        <v>193.5</v>
      </c>
      <c r="R294" s="2">
        <v>155.1</v>
      </c>
      <c r="S294" s="2">
        <v>138.69999999999999</v>
      </c>
      <c r="T294" s="2">
        <v>152.6</v>
      </c>
      <c r="U294" s="2">
        <v>159.9</v>
      </c>
      <c r="V294" s="2">
        <v>154.80000000000001</v>
      </c>
      <c r="W294" s="2">
        <v>147.19999999999999</v>
      </c>
      <c r="X294" s="2">
        <v>156.9</v>
      </c>
      <c r="Y294" s="2">
        <v>141.69999999999999</v>
      </c>
      <c r="Z294" s="2">
        <v>148.6</v>
      </c>
      <c r="AA294" s="2">
        <v>157.6</v>
      </c>
      <c r="AB294" s="2">
        <v>154.9</v>
      </c>
      <c r="AC294" s="2">
        <v>150</v>
      </c>
      <c r="AD294" s="2">
        <v>156.9</v>
      </c>
    </row>
    <row r="295" spans="1:30" ht="26.5" thickBot="1" x14ac:dyDescent="0.4">
      <c r="A295" s="1" t="s">
        <v>34</v>
      </c>
      <c r="B295" s="2">
        <v>2021</v>
      </c>
      <c r="C295" s="1" t="s">
        <v>36</v>
      </c>
      <c r="D295" s="2">
        <v>144.1</v>
      </c>
      <c r="E295" s="2">
        <v>192.2</v>
      </c>
      <c r="F295" s="2">
        <v>163.80000000000001</v>
      </c>
      <c r="G295" s="2">
        <v>154.9</v>
      </c>
      <c r="H295" s="2">
        <v>163.9</v>
      </c>
      <c r="I295" s="2">
        <v>153.69999999999999</v>
      </c>
      <c r="J295" s="2">
        <v>149.5</v>
      </c>
      <c r="K295" s="2">
        <v>159.80000000000001</v>
      </c>
      <c r="L295" s="2">
        <v>112.6</v>
      </c>
      <c r="M295" s="2">
        <v>163.5</v>
      </c>
      <c r="N295" s="2">
        <v>156.5</v>
      </c>
      <c r="O295" s="2">
        <v>168.2</v>
      </c>
      <c r="P295" s="2">
        <v>156.69999999999999</v>
      </c>
      <c r="Q295" s="2">
        <v>188.1</v>
      </c>
      <c r="R295" s="2">
        <v>157.80000000000001</v>
      </c>
      <c r="S295" s="2">
        <v>147.9</v>
      </c>
      <c r="T295" s="2">
        <v>156.4</v>
      </c>
      <c r="U295" s="2">
        <v>159.9</v>
      </c>
      <c r="V295" s="2">
        <v>155.5</v>
      </c>
      <c r="W295" s="2">
        <v>151.19999999999999</v>
      </c>
      <c r="X295" s="2">
        <v>161.69999999999999</v>
      </c>
      <c r="Y295" s="2">
        <v>146.19999999999999</v>
      </c>
      <c r="Z295" s="2">
        <v>152.6</v>
      </c>
      <c r="AA295" s="2">
        <v>160.19999999999999</v>
      </c>
      <c r="AB295" s="2">
        <v>153.80000000000001</v>
      </c>
      <c r="AC295" s="2">
        <v>153.80000000000001</v>
      </c>
      <c r="AD295" s="2">
        <v>156.80000000000001</v>
      </c>
    </row>
    <row r="296" spans="1:30" ht="15" thickBot="1" x14ac:dyDescent="0.4">
      <c r="A296" s="1" t="s">
        <v>30</v>
      </c>
      <c r="B296" s="2">
        <v>2021</v>
      </c>
      <c r="C296" s="1" t="s">
        <v>37</v>
      </c>
      <c r="D296" s="2">
        <v>142.69999999999999</v>
      </c>
      <c r="E296" s="2">
        <v>195.5</v>
      </c>
      <c r="F296" s="2">
        <v>163.4</v>
      </c>
      <c r="G296" s="2">
        <v>155</v>
      </c>
      <c r="H296" s="2">
        <v>175.2</v>
      </c>
      <c r="I296" s="2">
        <v>160.6</v>
      </c>
      <c r="J296" s="2">
        <v>135.1</v>
      </c>
      <c r="K296" s="2">
        <v>161.1</v>
      </c>
      <c r="L296" s="2">
        <v>112.2</v>
      </c>
      <c r="M296" s="2">
        <v>164.4</v>
      </c>
      <c r="N296" s="2">
        <v>161.9</v>
      </c>
      <c r="O296" s="2">
        <v>166.8</v>
      </c>
      <c r="P296" s="2">
        <v>155.6</v>
      </c>
      <c r="Q296" s="2">
        <v>186.8</v>
      </c>
      <c r="R296" s="2">
        <v>160.69999999999999</v>
      </c>
      <c r="S296" s="2">
        <v>155.1</v>
      </c>
      <c r="T296" s="2">
        <v>159.9</v>
      </c>
      <c r="U296" s="1" t="s">
        <v>47</v>
      </c>
      <c r="V296" s="2">
        <v>156</v>
      </c>
      <c r="W296" s="2">
        <v>155.5</v>
      </c>
      <c r="X296" s="2">
        <v>165.3</v>
      </c>
      <c r="Y296" s="2">
        <v>151.69999999999999</v>
      </c>
      <c r="Z296" s="2">
        <v>158.6</v>
      </c>
      <c r="AA296" s="2">
        <v>164.1</v>
      </c>
      <c r="AB296" s="2">
        <v>154.6</v>
      </c>
      <c r="AC296" s="2">
        <v>158</v>
      </c>
      <c r="AD296" s="2">
        <v>157.6</v>
      </c>
    </row>
    <row r="297" spans="1:30" ht="15" thickBot="1" x14ac:dyDescent="0.4">
      <c r="A297" s="1" t="s">
        <v>33</v>
      </c>
      <c r="B297" s="2">
        <v>2021</v>
      </c>
      <c r="C297" s="1" t="s">
        <v>37</v>
      </c>
      <c r="D297" s="2">
        <v>147.6</v>
      </c>
      <c r="E297" s="2">
        <v>202.5</v>
      </c>
      <c r="F297" s="2">
        <v>166.4</v>
      </c>
      <c r="G297" s="2">
        <v>156</v>
      </c>
      <c r="H297" s="2">
        <v>161.4</v>
      </c>
      <c r="I297" s="2">
        <v>168.8</v>
      </c>
      <c r="J297" s="2">
        <v>161.6</v>
      </c>
      <c r="K297" s="2">
        <v>162.80000000000001</v>
      </c>
      <c r="L297" s="2">
        <v>114.8</v>
      </c>
      <c r="M297" s="2">
        <v>162.80000000000001</v>
      </c>
      <c r="N297" s="2">
        <v>151.5</v>
      </c>
      <c r="O297" s="2">
        <v>171.4</v>
      </c>
      <c r="P297" s="2">
        <v>162</v>
      </c>
      <c r="Q297" s="2">
        <v>194.4</v>
      </c>
      <c r="R297" s="2">
        <v>155.9</v>
      </c>
      <c r="S297" s="2">
        <v>139.30000000000001</v>
      </c>
      <c r="T297" s="2">
        <v>153.4</v>
      </c>
      <c r="U297" s="2">
        <v>161.4</v>
      </c>
      <c r="V297" s="2">
        <v>154.9</v>
      </c>
      <c r="W297" s="2">
        <v>147.6</v>
      </c>
      <c r="X297" s="2">
        <v>157.5</v>
      </c>
      <c r="Y297" s="2">
        <v>142.1</v>
      </c>
      <c r="Z297" s="2">
        <v>149.1</v>
      </c>
      <c r="AA297" s="2">
        <v>157.6</v>
      </c>
      <c r="AB297" s="2">
        <v>156.6</v>
      </c>
      <c r="AC297" s="2">
        <v>150.5</v>
      </c>
      <c r="AD297" s="2">
        <v>158</v>
      </c>
    </row>
    <row r="298" spans="1:30" ht="26.5" thickBot="1" x14ac:dyDescent="0.4">
      <c r="A298" s="1" t="s">
        <v>34</v>
      </c>
      <c r="B298" s="2">
        <v>2021</v>
      </c>
      <c r="C298" s="1" t="s">
        <v>37</v>
      </c>
      <c r="D298" s="2">
        <v>144.30000000000001</v>
      </c>
      <c r="E298" s="2">
        <v>198</v>
      </c>
      <c r="F298" s="2">
        <v>164.6</v>
      </c>
      <c r="G298" s="2">
        <v>155.4</v>
      </c>
      <c r="H298" s="2">
        <v>170.1</v>
      </c>
      <c r="I298" s="2">
        <v>164.4</v>
      </c>
      <c r="J298" s="2">
        <v>144.1</v>
      </c>
      <c r="K298" s="2">
        <v>161.69999999999999</v>
      </c>
      <c r="L298" s="2">
        <v>113.1</v>
      </c>
      <c r="M298" s="2">
        <v>163.9</v>
      </c>
      <c r="N298" s="2">
        <v>157.6</v>
      </c>
      <c r="O298" s="2">
        <v>168.9</v>
      </c>
      <c r="P298" s="2">
        <v>158</v>
      </c>
      <c r="Q298" s="2">
        <v>188.8</v>
      </c>
      <c r="R298" s="2">
        <v>158.80000000000001</v>
      </c>
      <c r="S298" s="2">
        <v>148.5</v>
      </c>
      <c r="T298" s="2">
        <v>157.30000000000001</v>
      </c>
      <c r="U298" s="2">
        <v>161.4</v>
      </c>
      <c r="V298" s="2">
        <v>155.6</v>
      </c>
      <c r="W298" s="2">
        <v>151.80000000000001</v>
      </c>
      <c r="X298" s="2">
        <v>162.30000000000001</v>
      </c>
      <c r="Y298" s="2">
        <v>146.6</v>
      </c>
      <c r="Z298" s="2">
        <v>153.19999999999999</v>
      </c>
      <c r="AA298" s="2">
        <v>160.30000000000001</v>
      </c>
      <c r="AB298" s="2">
        <v>155.4</v>
      </c>
      <c r="AC298" s="2">
        <v>154.4</v>
      </c>
      <c r="AD298" s="2">
        <v>157.80000000000001</v>
      </c>
    </row>
    <row r="299" spans="1:30" ht="15" thickBot="1" x14ac:dyDescent="0.4">
      <c r="A299" s="1" t="s">
        <v>30</v>
      </c>
      <c r="B299" s="2">
        <v>2021</v>
      </c>
      <c r="C299" s="1" t="s">
        <v>38</v>
      </c>
      <c r="D299" s="2">
        <v>145.1</v>
      </c>
      <c r="E299" s="2">
        <v>198.5</v>
      </c>
      <c r="F299" s="2">
        <v>168.6</v>
      </c>
      <c r="G299" s="2">
        <v>155.80000000000001</v>
      </c>
      <c r="H299" s="2">
        <v>184.4</v>
      </c>
      <c r="I299" s="2">
        <v>162.30000000000001</v>
      </c>
      <c r="J299" s="2">
        <v>138.4</v>
      </c>
      <c r="K299" s="2">
        <v>165.1</v>
      </c>
      <c r="L299" s="2">
        <v>114.3</v>
      </c>
      <c r="M299" s="2">
        <v>169.7</v>
      </c>
      <c r="N299" s="2">
        <v>164.6</v>
      </c>
      <c r="O299" s="2">
        <v>169.8</v>
      </c>
      <c r="P299" s="2">
        <v>158.69999999999999</v>
      </c>
      <c r="Q299" s="2">
        <v>189.6</v>
      </c>
      <c r="R299" s="2">
        <v>165.3</v>
      </c>
      <c r="S299" s="2">
        <v>160.6</v>
      </c>
      <c r="T299" s="2">
        <v>164.5</v>
      </c>
      <c r="U299" s="1" t="s">
        <v>32</v>
      </c>
      <c r="V299" s="2">
        <v>161.69999999999999</v>
      </c>
      <c r="W299" s="2">
        <v>158.80000000000001</v>
      </c>
      <c r="X299" s="2">
        <v>169.1</v>
      </c>
      <c r="Y299" s="2">
        <v>153.19999999999999</v>
      </c>
      <c r="Z299" s="2">
        <v>160</v>
      </c>
      <c r="AA299" s="2">
        <v>167.6</v>
      </c>
      <c r="AB299" s="2">
        <v>159.30000000000001</v>
      </c>
      <c r="AC299" s="2">
        <v>161.1</v>
      </c>
      <c r="AD299" s="2">
        <v>161.1</v>
      </c>
    </row>
    <row r="300" spans="1:30" ht="15" thickBot="1" x14ac:dyDescent="0.4">
      <c r="A300" s="1" t="s">
        <v>33</v>
      </c>
      <c r="B300" s="2">
        <v>2021</v>
      </c>
      <c r="C300" s="1" t="s">
        <v>38</v>
      </c>
      <c r="D300" s="2">
        <v>148.80000000000001</v>
      </c>
      <c r="E300" s="2">
        <v>204.3</v>
      </c>
      <c r="F300" s="2">
        <v>173</v>
      </c>
      <c r="G300" s="2">
        <v>156.5</v>
      </c>
      <c r="H300" s="2">
        <v>168.8</v>
      </c>
      <c r="I300" s="2">
        <v>172.5</v>
      </c>
      <c r="J300" s="2">
        <v>166.5</v>
      </c>
      <c r="K300" s="2">
        <v>165.9</v>
      </c>
      <c r="L300" s="2">
        <v>115.9</v>
      </c>
      <c r="M300" s="2">
        <v>165.2</v>
      </c>
      <c r="N300" s="2">
        <v>152</v>
      </c>
      <c r="O300" s="2">
        <v>171.1</v>
      </c>
      <c r="P300" s="2">
        <v>164.2</v>
      </c>
      <c r="Q300" s="2">
        <v>198.2</v>
      </c>
      <c r="R300" s="2">
        <v>156.5</v>
      </c>
      <c r="S300" s="2">
        <v>140.19999999999999</v>
      </c>
      <c r="T300" s="2">
        <v>154.1</v>
      </c>
      <c r="U300" s="2">
        <v>161.6</v>
      </c>
      <c r="V300" s="2">
        <v>155.5</v>
      </c>
      <c r="W300" s="2">
        <v>150.1</v>
      </c>
      <c r="X300" s="2">
        <v>160.4</v>
      </c>
      <c r="Y300" s="2">
        <v>145</v>
      </c>
      <c r="Z300" s="2">
        <v>152.6</v>
      </c>
      <c r="AA300" s="2">
        <v>156.6</v>
      </c>
      <c r="AB300" s="2">
        <v>157.5</v>
      </c>
      <c r="AC300" s="2">
        <v>152.30000000000001</v>
      </c>
      <c r="AD300" s="2">
        <v>159.5</v>
      </c>
    </row>
    <row r="301" spans="1:30" ht="26.5" thickBot="1" x14ac:dyDescent="0.4">
      <c r="A301" s="1" t="s">
        <v>34</v>
      </c>
      <c r="B301" s="2">
        <v>2021</v>
      </c>
      <c r="C301" s="1" t="s">
        <v>38</v>
      </c>
      <c r="D301" s="2">
        <v>146.30000000000001</v>
      </c>
      <c r="E301" s="2">
        <v>200.5</v>
      </c>
      <c r="F301" s="2">
        <v>170.3</v>
      </c>
      <c r="G301" s="2">
        <v>156.1</v>
      </c>
      <c r="H301" s="2">
        <v>178.7</v>
      </c>
      <c r="I301" s="2">
        <v>167.1</v>
      </c>
      <c r="J301" s="2">
        <v>147.9</v>
      </c>
      <c r="K301" s="2">
        <v>165.4</v>
      </c>
      <c r="L301" s="2">
        <v>114.8</v>
      </c>
      <c r="M301" s="2">
        <v>168.2</v>
      </c>
      <c r="N301" s="2">
        <v>159.30000000000001</v>
      </c>
      <c r="O301" s="2">
        <v>170.4</v>
      </c>
      <c r="P301" s="2">
        <v>160.69999999999999</v>
      </c>
      <c r="Q301" s="2">
        <v>191.9</v>
      </c>
      <c r="R301" s="2">
        <v>161.80000000000001</v>
      </c>
      <c r="S301" s="2">
        <v>152.1</v>
      </c>
      <c r="T301" s="2">
        <v>160.4</v>
      </c>
      <c r="U301" s="2">
        <v>161.6</v>
      </c>
      <c r="V301" s="2">
        <v>159.4</v>
      </c>
      <c r="W301" s="2">
        <v>154.69999999999999</v>
      </c>
      <c r="X301" s="2">
        <v>165.8</v>
      </c>
      <c r="Y301" s="2">
        <v>148.9</v>
      </c>
      <c r="Z301" s="2">
        <v>155.80000000000001</v>
      </c>
      <c r="AA301" s="2">
        <v>161.19999999999999</v>
      </c>
      <c r="AB301" s="2">
        <v>158.6</v>
      </c>
      <c r="AC301" s="2">
        <v>156.80000000000001</v>
      </c>
      <c r="AD301" s="2">
        <v>160.4</v>
      </c>
    </row>
    <row r="302" spans="1:30" ht="15" thickBot="1" x14ac:dyDescent="0.4">
      <c r="A302" s="1" t="s">
        <v>30</v>
      </c>
      <c r="B302" s="2">
        <v>2021</v>
      </c>
      <c r="C302" s="1" t="s">
        <v>39</v>
      </c>
      <c r="D302" s="2">
        <v>145.6</v>
      </c>
      <c r="E302" s="2">
        <v>200.1</v>
      </c>
      <c r="F302" s="2">
        <v>179.3</v>
      </c>
      <c r="G302" s="2">
        <v>156.1</v>
      </c>
      <c r="H302" s="2">
        <v>190.4</v>
      </c>
      <c r="I302" s="2">
        <v>158.6</v>
      </c>
      <c r="J302" s="2">
        <v>144.69999999999999</v>
      </c>
      <c r="K302" s="2">
        <v>165.5</v>
      </c>
      <c r="L302" s="2">
        <v>114.6</v>
      </c>
      <c r="M302" s="2">
        <v>170</v>
      </c>
      <c r="N302" s="2">
        <v>165.5</v>
      </c>
      <c r="O302" s="2">
        <v>171.7</v>
      </c>
      <c r="P302" s="2">
        <v>160.5</v>
      </c>
      <c r="Q302" s="2">
        <v>189.1</v>
      </c>
      <c r="R302" s="2">
        <v>165.3</v>
      </c>
      <c r="S302" s="2">
        <v>159.9</v>
      </c>
      <c r="T302" s="2">
        <v>164.6</v>
      </c>
      <c r="U302" s="1" t="s">
        <v>32</v>
      </c>
      <c r="V302" s="2">
        <v>162.1</v>
      </c>
      <c r="W302" s="2">
        <v>159.19999999999999</v>
      </c>
      <c r="X302" s="2">
        <v>169.7</v>
      </c>
      <c r="Y302" s="2">
        <v>154.19999999999999</v>
      </c>
      <c r="Z302" s="2">
        <v>160.4</v>
      </c>
      <c r="AA302" s="2">
        <v>166.8</v>
      </c>
      <c r="AB302" s="2">
        <v>159.4</v>
      </c>
      <c r="AC302" s="2">
        <v>161.5</v>
      </c>
      <c r="AD302" s="2">
        <v>162.1</v>
      </c>
    </row>
    <row r="303" spans="1:30" ht="15" thickBot="1" x14ac:dyDescent="0.4">
      <c r="A303" s="1" t="s">
        <v>33</v>
      </c>
      <c r="B303" s="2">
        <v>2021</v>
      </c>
      <c r="C303" s="1" t="s">
        <v>39</v>
      </c>
      <c r="D303" s="2">
        <v>149.19999999999999</v>
      </c>
      <c r="E303" s="2">
        <v>205.5</v>
      </c>
      <c r="F303" s="2">
        <v>182.8</v>
      </c>
      <c r="G303" s="2">
        <v>156.5</v>
      </c>
      <c r="H303" s="2">
        <v>172.2</v>
      </c>
      <c r="I303" s="2">
        <v>171.5</v>
      </c>
      <c r="J303" s="2">
        <v>176.2</v>
      </c>
      <c r="K303" s="2">
        <v>166.9</v>
      </c>
      <c r="L303" s="2">
        <v>116.1</v>
      </c>
      <c r="M303" s="2">
        <v>165.5</v>
      </c>
      <c r="N303" s="2">
        <v>152.30000000000001</v>
      </c>
      <c r="O303" s="2">
        <v>173.3</v>
      </c>
      <c r="P303" s="2">
        <v>166.2</v>
      </c>
      <c r="Q303" s="2">
        <v>195.6</v>
      </c>
      <c r="R303" s="2">
        <v>157.30000000000001</v>
      </c>
      <c r="S303" s="2">
        <v>140.5</v>
      </c>
      <c r="T303" s="2">
        <v>154.80000000000001</v>
      </c>
      <c r="U303" s="2">
        <v>160.5</v>
      </c>
      <c r="V303" s="2">
        <v>156.1</v>
      </c>
      <c r="W303" s="2">
        <v>149.80000000000001</v>
      </c>
      <c r="X303" s="2">
        <v>160.80000000000001</v>
      </c>
      <c r="Y303" s="2">
        <v>147.5</v>
      </c>
      <c r="Z303" s="2">
        <v>150.69999999999999</v>
      </c>
      <c r="AA303" s="2">
        <v>158.1</v>
      </c>
      <c r="AB303" s="2">
        <v>158</v>
      </c>
      <c r="AC303" s="2">
        <v>153.4</v>
      </c>
      <c r="AD303" s="2">
        <v>160.4</v>
      </c>
    </row>
    <row r="304" spans="1:30" ht="26.5" thickBot="1" x14ac:dyDescent="0.4">
      <c r="A304" s="1" t="s">
        <v>34</v>
      </c>
      <c r="B304" s="2">
        <v>2021</v>
      </c>
      <c r="C304" s="1" t="s">
        <v>39</v>
      </c>
      <c r="D304" s="2">
        <v>146.69999999999999</v>
      </c>
      <c r="E304" s="2">
        <v>202</v>
      </c>
      <c r="F304" s="2">
        <v>180.7</v>
      </c>
      <c r="G304" s="2">
        <v>156.19999999999999</v>
      </c>
      <c r="H304" s="2">
        <v>183.7</v>
      </c>
      <c r="I304" s="2">
        <v>164.6</v>
      </c>
      <c r="J304" s="2">
        <v>155.4</v>
      </c>
      <c r="K304" s="2">
        <v>166</v>
      </c>
      <c r="L304" s="2">
        <v>115.1</v>
      </c>
      <c r="M304" s="2">
        <v>168.5</v>
      </c>
      <c r="N304" s="2">
        <v>160</v>
      </c>
      <c r="O304" s="2">
        <v>172.4</v>
      </c>
      <c r="P304" s="2">
        <v>162.6</v>
      </c>
      <c r="Q304" s="2">
        <v>190.8</v>
      </c>
      <c r="R304" s="2">
        <v>162.19999999999999</v>
      </c>
      <c r="S304" s="2">
        <v>151.80000000000001</v>
      </c>
      <c r="T304" s="2">
        <v>160.69999999999999</v>
      </c>
      <c r="U304" s="2">
        <v>160.5</v>
      </c>
      <c r="V304" s="2">
        <v>159.80000000000001</v>
      </c>
      <c r="W304" s="2">
        <v>154.80000000000001</v>
      </c>
      <c r="X304" s="2">
        <v>166.3</v>
      </c>
      <c r="Y304" s="2">
        <v>150.69999999999999</v>
      </c>
      <c r="Z304" s="2">
        <v>154.9</v>
      </c>
      <c r="AA304" s="2">
        <v>161.69999999999999</v>
      </c>
      <c r="AB304" s="2">
        <v>158.80000000000001</v>
      </c>
      <c r="AC304" s="2">
        <v>157.6</v>
      </c>
      <c r="AD304" s="2">
        <v>161.30000000000001</v>
      </c>
    </row>
    <row r="305" spans="1:30" ht="15" thickBot="1" x14ac:dyDescent="0.4">
      <c r="A305" s="1" t="s">
        <v>30</v>
      </c>
      <c r="B305" s="2">
        <v>2021</v>
      </c>
      <c r="C305" s="1" t="s">
        <v>40</v>
      </c>
      <c r="D305" s="2">
        <v>145.1</v>
      </c>
      <c r="E305" s="2">
        <v>204.5</v>
      </c>
      <c r="F305" s="2">
        <v>180.4</v>
      </c>
      <c r="G305" s="2">
        <v>157.1</v>
      </c>
      <c r="H305" s="2">
        <v>188.7</v>
      </c>
      <c r="I305" s="2">
        <v>157.69999999999999</v>
      </c>
      <c r="J305" s="2">
        <v>152.80000000000001</v>
      </c>
      <c r="K305" s="2">
        <v>163.6</v>
      </c>
      <c r="L305" s="2">
        <v>113.9</v>
      </c>
      <c r="M305" s="2">
        <v>169.7</v>
      </c>
      <c r="N305" s="2">
        <v>166.2</v>
      </c>
      <c r="O305" s="2">
        <v>171</v>
      </c>
      <c r="P305" s="2">
        <v>161.69999999999999</v>
      </c>
      <c r="Q305" s="2">
        <v>189.7</v>
      </c>
      <c r="R305" s="2">
        <v>166</v>
      </c>
      <c r="S305" s="2">
        <v>161.1</v>
      </c>
      <c r="T305" s="2">
        <v>165.3</v>
      </c>
      <c r="U305" s="1" t="s">
        <v>32</v>
      </c>
      <c r="V305" s="2">
        <v>162.5</v>
      </c>
      <c r="W305" s="2">
        <v>160.30000000000001</v>
      </c>
      <c r="X305" s="2">
        <v>170.4</v>
      </c>
      <c r="Y305" s="2">
        <v>157.1</v>
      </c>
      <c r="Z305" s="2">
        <v>160.69999999999999</v>
      </c>
      <c r="AA305" s="2">
        <v>167.2</v>
      </c>
      <c r="AB305" s="2">
        <v>160.4</v>
      </c>
      <c r="AC305" s="2">
        <v>162.80000000000001</v>
      </c>
      <c r="AD305" s="2">
        <v>163.19999999999999</v>
      </c>
    </row>
    <row r="306" spans="1:30" ht="15" thickBot="1" x14ac:dyDescent="0.4">
      <c r="A306" s="1" t="s">
        <v>33</v>
      </c>
      <c r="B306" s="2">
        <v>2021</v>
      </c>
      <c r="C306" s="1" t="s">
        <v>40</v>
      </c>
      <c r="D306" s="2">
        <v>149.1</v>
      </c>
      <c r="E306" s="2">
        <v>210.9</v>
      </c>
      <c r="F306" s="2">
        <v>185</v>
      </c>
      <c r="G306" s="2">
        <v>158.19999999999999</v>
      </c>
      <c r="H306" s="2">
        <v>170.6</v>
      </c>
      <c r="I306" s="2">
        <v>170.9</v>
      </c>
      <c r="J306" s="2">
        <v>186.4</v>
      </c>
      <c r="K306" s="2">
        <v>164.7</v>
      </c>
      <c r="L306" s="2">
        <v>115.7</v>
      </c>
      <c r="M306" s="2">
        <v>165.5</v>
      </c>
      <c r="N306" s="2">
        <v>153.4</v>
      </c>
      <c r="O306" s="2">
        <v>173.5</v>
      </c>
      <c r="P306" s="2">
        <v>167.9</v>
      </c>
      <c r="Q306" s="2">
        <v>195.5</v>
      </c>
      <c r="R306" s="2">
        <v>157.9</v>
      </c>
      <c r="S306" s="2">
        <v>141.9</v>
      </c>
      <c r="T306" s="2">
        <v>155.5</v>
      </c>
      <c r="U306" s="2">
        <v>161.5</v>
      </c>
      <c r="V306" s="2">
        <v>157.69999999999999</v>
      </c>
      <c r="W306" s="2">
        <v>150.69999999999999</v>
      </c>
      <c r="X306" s="2">
        <v>161.5</v>
      </c>
      <c r="Y306" s="2">
        <v>149.5</v>
      </c>
      <c r="Z306" s="2">
        <v>151.19999999999999</v>
      </c>
      <c r="AA306" s="2">
        <v>160.30000000000001</v>
      </c>
      <c r="AB306" s="2">
        <v>159.6</v>
      </c>
      <c r="AC306" s="2">
        <v>155</v>
      </c>
      <c r="AD306" s="2">
        <v>161.80000000000001</v>
      </c>
    </row>
    <row r="307" spans="1:30" ht="26.5" thickBot="1" x14ac:dyDescent="0.4">
      <c r="A307" s="1" t="s">
        <v>34</v>
      </c>
      <c r="B307" s="2">
        <v>2021</v>
      </c>
      <c r="C307" s="1" t="s">
        <v>40</v>
      </c>
      <c r="D307" s="2">
        <v>146.4</v>
      </c>
      <c r="E307" s="2">
        <v>206.8</v>
      </c>
      <c r="F307" s="2">
        <v>182.2</v>
      </c>
      <c r="G307" s="2">
        <v>157.5</v>
      </c>
      <c r="H307" s="2">
        <v>182.1</v>
      </c>
      <c r="I307" s="2">
        <v>163.9</v>
      </c>
      <c r="J307" s="2">
        <v>164.2</v>
      </c>
      <c r="K307" s="2">
        <v>164</v>
      </c>
      <c r="L307" s="2">
        <v>114.5</v>
      </c>
      <c r="M307" s="2">
        <v>168.3</v>
      </c>
      <c r="N307" s="2">
        <v>160.9</v>
      </c>
      <c r="O307" s="2">
        <v>172.2</v>
      </c>
      <c r="P307" s="2">
        <v>164</v>
      </c>
      <c r="Q307" s="2">
        <v>191.2</v>
      </c>
      <c r="R307" s="2">
        <v>162.80000000000001</v>
      </c>
      <c r="S307" s="2">
        <v>153.1</v>
      </c>
      <c r="T307" s="2">
        <v>161.4</v>
      </c>
      <c r="U307" s="2">
        <v>161.5</v>
      </c>
      <c r="V307" s="2">
        <v>160.69999999999999</v>
      </c>
      <c r="W307" s="2">
        <v>155.80000000000001</v>
      </c>
      <c r="X307" s="2">
        <v>167</v>
      </c>
      <c r="Y307" s="2">
        <v>153.1</v>
      </c>
      <c r="Z307" s="2">
        <v>155.30000000000001</v>
      </c>
      <c r="AA307" s="2">
        <v>163.19999999999999</v>
      </c>
      <c r="AB307" s="2">
        <v>160.1</v>
      </c>
      <c r="AC307" s="2">
        <v>159</v>
      </c>
      <c r="AD307" s="2">
        <v>162.5</v>
      </c>
    </row>
    <row r="308" spans="1:30" ht="15" thickBot="1" x14ac:dyDescent="0.4">
      <c r="A308" s="1" t="s">
        <v>30</v>
      </c>
      <c r="B308" s="2">
        <v>2021</v>
      </c>
      <c r="C308" s="1" t="s">
        <v>41</v>
      </c>
      <c r="D308" s="2">
        <v>144.9</v>
      </c>
      <c r="E308" s="2">
        <v>202.3</v>
      </c>
      <c r="F308" s="2">
        <v>176.5</v>
      </c>
      <c r="G308" s="2">
        <v>157.5</v>
      </c>
      <c r="H308" s="2">
        <v>190.9</v>
      </c>
      <c r="I308" s="2">
        <v>155.69999999999999</v>
      </c>
      <c r="J308" s="2">
        <v>153.9</v>
      </c>
      <c r="K308" s="2">
        <v>162.80000000000001</v>
      </c>
      <c r="L308" s="2">
        <v>115.2</v>
      </c>
      <c r="M308" s="2">
        <v>169.8</v>
      </c>
      <c r="N308" s="2">
        <v>167.6</v>
      </c>
      <c r="O308" s="2">
        <v>171.9</v>
      </c>
      <c r="P308" s="2">
        <v>161.80000000000001</v>
      </c>
      <c r="Q308" s="2">
        <v>190.2</v>
      </c>
      <c r="R308" s="2">
        <v>167</v>
      </c>
      <c r="S308" s="2">
        <v>162.6</v>
      </c>
      <c r="T308" s="2">
        <v>166.3</v>
      </c>
      <c r="U308" s="1" t="s">
        <v>32</v>
      </c>
      <c r="V308" s="2">
        <v>163.1</v>
      </c>
      <c r="W308" s="2">
        <v>160.9</v>
      </c>
      <c r="X308" s="2">
        <v>171.1</v>
      </c>
      <c r="Y308" s="2">
        <v>157.69999999999999</v>
      </c>
      <c r="Z308" s="2">
        <v>161.1</v>
      </c>
      <c r="AA308" s="2">
        <v>167.5</v>
      </c>
      <c r="AB308" s="2">
        <v>160.30000000000001</v>
      </c>
      <c r="AC308" s="2">
        <v>163.30000000000001</v>
      </c>
      <c r="AD308" s="2">
        <v>163.6</v>
      </c>
    </row>
    <row r="309" spans="1:30" ht="15" thickBot="1" x14ac:dyDescent="0.4">
      <c r="A309" s="1" t="s">
        <v>33</v>
      </c>
      <c r="B309" s="2">
        <v>2021</v>
      </c>
      <c r="C309" s="1" t="s">
        <v>41</v>
      </c>
      <c r="D309" s="2">
        <v>149.30000000000001</v>
      </c>
      <c r="E309" s="2">
        <v>207.4</v>
      </c>
      <c r="F309" s="2">
        <v>174.1</v>
      </c>
      <c r="G309" s="2">
        <v>159.19999999999999</v>
      </c>
      <c r="H309" s="2">
        <v>175</v>
      </c>
      <c r="I309" s="2">
        <v>161.30000000000001</v>
      </c>
      <c r="J309" s="2">
        <v>183.3</v>
      </c>
      <c r="K309" s="2">
        <v>164.5</v>
      </c>
      <c r="L309" s="2">
        <v>120.4</v>
      </c>
      <c r="M309" s="2">
        <v>166.2</v>
      </c>
      <c r="N309" s="2">
        <v>154.80000000000001</v>
      </c>
      <c r="O309" s="2">
        <v>175.1</v>
      </c>
      <c r="P309" s="2">
        <v>167.3</v>
      </c>
      <c r="Q309" s="2">
        <v>196.5</v>
      </c>
      <c r="R309" s="2">
        <v>159.80000000000001</v>
      </c>
      <c r="S309" s="2">
        <v>143.6</v>
      </c>
      <c r="T309" s="2">
        <v>157.30000000000001</v>
      </c>
      <c r="U309" s="2">
        <v>162.1</v>
      </c>
      <c r="V309" s="2">
        <v>160.69999999999999</v>
      </c>
      <c r="W309" s="2">
        <v>153.19999999999999</v>
      </c>
      <c r="X309" s="2">
        <v>162.80000000000001</v>
      </c>
      <c r="Y309" s="2">
        <v>150.4</v>
      </c>
      <c r="Z309" s="2">
        <v>153.69999999999999</v>
      </c>
      <c r="AA309" s="2">
        <v>160.4</v>
      </c>
      <c r="AB309" s="2">
        <v>159.6</v>
      </c>
      <c r="AC309" s="2">
        <v>156</v>
      </c>
      <c r="AD309" s="2">
        <v>162.30000000000001</v>
      </c>
    </row>
    <row r="310" spans="1:30" ht="26.5" thickBot="1" x14ac:dyDescent="0.4">
      <c r="A310" s="1" t="s">
        <v>34</v>
      </c>
      <c r="B310" s="2">
        <v>2021</v>
      </c>
      <c r="C310" s="1" t="s">
        <v>41</v>
      </c>
      <c r="D310" s="2">
        <v>146.6</v>
      </c>
      <c r="E310" s="2">
        <v>204</v>
      </c>
      <c r="F310" s="2">
        <v>172.8</v>
      </c>
      <c r="G310" s="2">
        <v>158.4</v>
      </c>
      <c r="H310" s="2">
        <v>188</v>
      </c>
      <c r="I310" s="2">
        <v>156.80000000000001</v>
      </c>
      <c r="J310" s="2">
        <v>162.19999999999999</v>
      </c>
      <c r="K310" s="2">
        <v>164.1</v>
      </c>
      <c r="L310" s="2">
        <v>119.7</v>
      </c>
      <c r="M310" s="2">
        <v>168.8</v>
      </c>
      <c r="N310" s="2">
        <v>162.69999999999999</v>
      </c>
      <c r="O310" s="2">
        <v>173.9</v>
      </c>
      <c r="P310" s="2">
        <v>164</v>
      </c>
      <c r="Q310" s="2">
        <v>192.1</v>
      </c>
      <c r="R310" s="2">
        <v>164.5</v>
      </c>
      <c r="S310" s="2">
        <v>155.30000000000001</v>
      </c>
      <c r="T310" s="2">
        <v>163.19999999999999</v>
      </c>
      <c r="U310" s="2">
        <v>162.1</v>
      </c>
      <c r="V310" s="2">
        <v>162.6</v>
      </c>
      <c r="W310" s="2">
        <v>157.5</v>
      </c>
      <c r="X310" s="2">
        <v>168.4</v>
      </c>
      <c r="Y310" s="2">
        <v>154</v>
      </c>
      <c r="Z310" s="2">
        <v>157.6</v>
      </c>
      <c r="AA310" s="2">
        <v>163.80000000000001</v>
      </c>
      <c r="AB310" s="2">
        <v>160</v>
      </c>
      <c r="AC310" s="2">
        <v>160</v>
      </c>
      <c r="AD310" s="2">
        <v>163.19999999999999</v>
      </c>
    </row>
    <row r="311" spans="1:30" ht="26.5" thickBot="1" x14ac:dyDescent="0.4">
      <c r="A311" s="1" t="s">
        <v>30</v>
      </c>
      <c r="B311" s="2">
        <v>2021</v>
      </c>
      <c r="C311" s="1" t="s">
        <v>42</v>
      </c>
      <c r="D311" s="2">
        <v>145.4</v>
      </c>
      <c r="E311" s="2">
        <v>202.1</v>
      </c>
      <c r="F311" s="2">
        <v>172</v>
      </c>
      <c r="G311" s="2">
        <v>158</v>
      </c>
      <c r="H311" s="2">
        <v>195.5</v>
      </c>
      <c r="I311" s="2">
        <v>152.69999999999999</v>
      </c>
      <c r="J311" s="2">
        <v>151.4</v>
      </c>
      <c r="K311" s="2">
        <v>163.9</v>
      </c>
      <c r="L311" s="2">
        <v>119.3</v>
      </c>
      <c r="M311" s="2">
        <v>170.1</v>
      </c>
      <c r="N311" s="2">
        <v>168.3</v>
      </c>
      <c r="O311" s="2">
        <v>172.8</v>
      </c>
      <c r="P311" s="2">
        <v>162.1</v>
      </c>
      <c r="Q311" s="2">
        <v>190.5</v>
      </c>
      <c r="R311" s="2">
        <v>167.7</v>
      </c>
      <c r="S311" s="2">
        <v>163.6</v>
      </c>
      <c r="T311" s="2">
        <v>167.1</v>
      </c>
      <c r="U311" s="1" t="s">
        <v>32</v>
      </c>
      <c r="V311" s="2">
        <v>163.69999999999999</v>
      </c>
      <c r="W311" s="2">
        <v>161.30000000000001</v>
      </c>
      <c r="X311" s="2">
        <v>171.9</v>
      </c>
      <c r="Y311" s="2">
        <v>157.80000000000001</v>
      </c>
      <c r="Z311" s="2">
        <v>162.69999999999999</v>
      </c>
      <c r="AA311" s="2">
        <v>168.5</v>
      </c>
      <c r="AB311" s="2">
        <v>160.19999999999999</v>
      </c>
      <c r="AC311" s="2">
        <v>163.80000000000001</v>
      </c>
      <c r="AD311" s="2">
        <v>164</v>
      </c>
    </row>
    <row r="312" spans="1:30" ht="26.5" thickBot="1" x14ac:dyDescent="0.4">
      <c r="A312" s="1" t="s">
        <v>33</v>
      </c>
      <c r="B312" s="2">
        <v>2021</v>
      </c>
      <c r="C312" s="1" t="s">
        <v>42</v>
      </c>
      <c r="D312" s="2">
        <v>149.30000000000001</v>
      </c>
      <c r="E312" s="2">
        <v>207.4</v>
      </c>
      <c r="F312" s="2">
        <v>174.1</v>
      </c>
      <c r="G312" s="2">
        <v>159.1</v>
      </c>
      <c r="H312" s="2">
        <v>175</v>
      </c>
      <c r="I312" s="2">
        <v>161.19999999999999</v>
      </c>
      <c r="J312" s="2">
        <v>183.5</v>
      </c>
      <c r="K312" s="2">
        <v>164.5</v>
      </c>
      <c r="L312" s="2">
        <v>120.4</v>
      </c>
      <c r="M312" s="2">
        <v>166.2</v>
      </c>
      <c r="N312" s="2">
        <v>154.80000000000001</v>
      </c>
      <c r="O312" s="2">
        <v>175.1</v>
      </c>
      <c r="P312" s="2">
        <v>167.3</v>
      </c>
      <c r="Q312" s="2">
        <v>196.5</v>
      </c>
      <c r="R312" s="2">
        <v>159.80000000000001</v>
      </c>
      <c r="S312" s="2">
        <v>143.6</v>
      </c>
      <c r="T312" s="2">
        <v>157.4</v>
      </c>
      <c r="U312" s="2">
        <v>162.1</v>
      </c>
      <c r="V312" s="2">
        <v>160.80000000000001</v>
      </c>
      <c r="W312" s="2">
        <v>153.30000000000001</v>
      </c>
      <c r="X312" s="2">
        <v>162.80000000000001</v>
      </c>
      <c r="Y312" s="2">
        <v>150.5</v>
      </c>
      <c r="Z312" s="2">
        <v>153.9</v>
      </c>
      <c r="AA312" s="2">
        <v>160.30000000000001</v>
      </c>
      <c r="AB312" s="2">
        <v>159.6</v>
      </c>
      <c r="AC312" s="2">
        <v>156</v>
      </c>
      <c r="AD312" s="2">
        <v>162.30000000000001</v>
      </c>
    </row>
    <row r="313" spans="1:30" ht="26.5" thickBot="1" x14ac:dyDescent="0.4">
      <c r="A313" s="1" t="s">
        <v>34</v>
      </c>
      <c r="B313" s="2">
        <v>2021</v>
      </c>
      <c r="C313" s="1" t="s">
        <v>42</v>
      </c>
      <c r="D313" s="2">
        <v>146.6</v>
      </c>
      <c r="E313" s="2">
        <v>204</v>
      </c>
      <c r="F313" s="2">
        <v>172.8</v>
      </c>
      <c r="G313" s="2">
        <v>158.4</v>
      </c>
      <c r="H313" s="2">
        <v>188</v>
      </c>
      <c r="I313" s="2">
        <v>156.69999999999999</v>
      </c>
      <c r="J313" s="2">
        <v>162.30000000000001</v>
      </c>
      <c r="K313" s="2">
        <v>164.1</v>
      </c>
      <c r="L313" s="2">
        <v>119.7</v>
      </c>
      <c r="M313" s="2">
        <v>168.8</v>
      </c>
      <c r="N313" s="2">
        <v>162.69999999999999</v>
      </c>
      <c r="O313" s="2">
        <v>173.9</v>
      </c>
      <c r="P313" s="2">
        <v>164</v>
      </c>
      <c r="Q313" s="2">
        <v>192.1</v>
      </c>
      <c r="R313" s="2">
        <v>164.6</v>
      </c>
      <c r="S313" s="2">
        <v>155.30000000000001</v>
      </c>
      <c r="T313" s="2">
        <v>163.30000000000001</v>
      </c>
      <c r="U313" s="2">
        <v>162.1</v>
      </c>
      <c r="V313" s="2">
        <v>162.6</v>
      </c>
      <c r="W313" s="2">
        <v>157.5</v>
      </c>
      <c r="X313" s="2">
        <v>168.4</v>
      </c>
      <c r="Y313" s="2">
        <v>154</v>
      </c>
      <c r="Z313" s="2">
        <v>157.69999999999999</v>
      </c>
      <c r="AA313" s="2">
        <v>163.69999999999999</v>
      </c>
      <c r="AB313" s="2">
        <v>160</v>
      </c>
      <c r="AC313" s="2">
        <v>160</v>
      </c>
      <c r="AD313" s="2">
        <v>163.19999999999999</v>
      </c>
    </row>
    <row r="314" spans="1:30" ht="15" thickBot="1" x14ac:dyDescent="0.4">
      <c r="A314" s="1" t="s">
        <v>30</v>
      </c>
      <c r="B314" s="2">
        <v>2021</v>
      </c>
      <c r="C314" s="1" t="s">
        <v>43</v>
      </c>
      <c r="D314" s="2">
        <v>146.1</v>
      </c>
      <c r="E314" s="2">
        <v>202.5</v>
      </c>
      <c r="F314" s="2">
        <v>170.1</v>
      </c>
      <c r="G314" s="2">
        <v>158.4</v>
      </c>
      <c r="H314" s="2">
        <v>198.8</v>
      </c>
      <c r="I314" s="2">
        <v>152.6</v>
      </c>
      <c r="J314" s="2">
        <v>170.4</v>
      </c>
      <c r="K314" s="2">
        <v>165.2</v>
      </c>
      <c r="L314" s="2">
        <v>121.6</v>
      </c>
      <c r="M314" s="2">
        <v>170.6</v>
      </c>
      <c r="N314" s="2">
        <v>168.8</v>
      </c>
      <c r="O314" s="2">
        <v>173.6</v>
      </c>
      <c r="P314" s="2">
        <v>165.5</v>
      </c>
      <c r="Q314" s="2">
        <v>191.2</v>
      </c>
      <c r="R314" s="2">
        <v>168.9</v>
      </c>
      <c r="S314" s="2">
        <v>164.8</v>
      </c>
      <c r="T314" s="2">
        <v>168.3</v>
      </c>
      <c r="U314" s="1" t="s">
        <v>32</v>
      </c>
      <c r="V314" s="2">
        <v>165.5</v>
      </c>
      <c r="W314" s="2">
        <v>162</v>
      </c>
      <c r="X314" s="2">
        <v>172.5</v>
      </c>
      <c r="Y314" s="2">
        <v>159.5</v>
      </c>
      <c r="Z314" s="2">
        <v>163.19999999999999</v>
      </c>
      <c r="AA314" s="2">
        <v>169</v>
      </c>
      <c r="AB314" s="2">
        <v>161.1</v>
      </c>
      <c r="AC314" s="2">
        <v>164.7</v>
      </c>
      <c r="AD314" s="2">
        <v>166.3</v>
      </c>
    </row>
    <row r="315" spans="1:30" ht="15" thickBot="1" x14ac:dyDescent="0.4">
      <c r="A315" s="1" t="s">
        <v>33</v>
      </c>
      <c r="B315" s="2">
        <v>2021</v>
      </c>
      <c r="C315" s="1" t="s">
        <v>43</v>
      </c>
      <c r="D315" s="2">
        <v>150.1</v>
      </c>
      <c r="E315" s="2">
        <v>208.4</v>
      </c>
      <c r="F315" s="2">
        <v>173</v>
      </c>
      <c r="G315" s="2">
        <v>159.19999999999999</v>
      </c>
      <c r="H315" s="2">
        <v>176.6</v>
      </c>
      <c r="I315" s="2">
        <v>159.30000000000001</v>
      </c>
      <c r="J315" s="2">
        <v>214.4</v>
      </c>
      <c r="K315" s="2">
        <v>165.3</v>
      </c>
      <c r="L315" s="2">
        <v>122.5</v>
      </c>
      <c r="M315" s="2">
        <v>166.8</v>
      </c>
      <c r="N315" s="2">
        <v>155.4</v>
      </c>
      <c r="O315" s="2">
        <v>175.9</v>
      </c>
      <c r="P315" s="2">
        <v>171.5</v>
      </c>
      <c r="Q315" s="2">
        <v>197</v>
      </c>
      <c r="R315" s="2">
        <v>160.80000000000001</v>
      </c>
      <c r="S315" s="2">
        <v>144.4</v>
      </c>
      <c r="T315" s="2">
        <v>158.30000000000001</v>
      </c>
      <c r="U315" s="2">
        <v>163.6</v>
      </c>
      <c r="V315" s="2">
        <v>162.19999999999999</v>
      </c>
      <c r="W315" s="2">
        <v>154.30000000000001</v>
      </c>
      <c r="X315" s="2">
        <v>163.5</v>
      </c>
      <c r="Y315" s="2">
        <v>152.19999999999999</v>
      </c>
      <c r="Z315" s="2">
        <v>155.1</v>
      </c>
      <c r="AA315" s="2">
        <v>160.30000000000001</v>
      </c>
      <c r="AB315" s="2">
        <v>160.30000000000001</v>
      </c>
      <c r="AC315" s="2">
        <v>157</v>
      </c>
      <c r="AD315" s="2">
        <v>164.6</v>
      </c>
    </row>
    <row r="316" spans="1:30" ht="26.5" thickBot="1" x14ac:dyDescent="0.4">
      <c r="A316" s="1" t="s">
        <v>34</v>
      </c>
      <c r="B316" s="2">
        <v>2021</v>
      </c>
      <c r="C316" s="1" t="s">
        <v>43</v>
      </c>
      <c r="D316" s="2">
        <v>147.4</v>
      </c>
      <c r="E316" s="2">
        <v>204.6</v>
      </c>
      <c r="F316" s="2">
        <v>171.2</v>
      </c>
      <c r="G316" s="2">
        <v>158.69999999999999</v>
      </c>
      <c r="H316" s="2">
        <v>190.6</v>
      </c>
      <c r="I316" s="2">
        <v>155.69999999999999</v>
      </c>
      <c r="J316" s="2">
        <v>185.3</v>
      </c>
      <c r="K316" s="2">
        <v>165.2</v>
      </c>
      <c r="L316" s="2">
        <v>121.9</v>
      </c>
      <c r="M316" s="2">
        <v>169.3</v>
      </c>
      <c r="N316" s="2">
        <v>163.19999999999999</v>
      </c>
      <c r="O316" s="2">
        <v>174.7</v>
      </c>
      <c r="P316" s="2">
        <v>167.7</v>
      </c>
      <c r="Q316" s="2">
        <v>192.7</v>
      </c>
      <c r="R316" s="2">
        <v>165.7</v>
      </c>
      <c r="S316" s="2">
        <v>156.30000000000001</v>
      </c>
      <c r="T316" s="2">
        <v>164.3</v>
      </c>
      <c r="U316" s="2">
        <v>163.6</v>
      </c>
      <c r="V316" s="2">
        <v>164.2</v>
      </c>
      <c r="W316" s="2">
        <v>158.4</v>
      </c>
      <c r="X316" s="2">
        <v>169.1</v>
      </c>
      <c r="Y316" s="2">
        <v>155.69999999999999</v>
      </c>
      <c r="Z316" s="2">
        <v>158.6</v>
      </c>
      <c r="AA316" s="2">
        <v>163.9</v>
      </c>
      <c r="AB316" s="2">
        <v>160.80000000000001</v>
      </c>
      <c r="AC316" s="2">
        <v>161</v>
      </c>
      <c r="AD316" s="2">
        <v>165.5</v>
      </c>
    </row>
    <row r="317" spans="1:30" ht="26.5" thickBot="1" x14ac:dyDescent="0.4">
      <c r="A317" s="1" t="s">
        <v>30</v>
      </c>
      <c r="B317" s="2">
        <v>2021</v>
      </c>
      <c r="C317" s="1" t="s">
        <v>44</v>
      </c>
      <c r="D317" s="2">
        <v>146.9</v>
      </c>
      <c r="E317" s="2">
        <v>199.8</v>
      </c>
      <c r="F317" s="2">
        <v>171.5</v>
      </c>
      <c r="G317" s="2">
        <v>159.1</v>
      </c>
      <c r="H317" s="2">
        <v>198.4</v>
      </c>
      <c r="I317" s="2">
        <v>153.19999999999999</v>
      </c>
      <c r="J317" s="2">
        <v>183.9</v>
      </c>
      <c r="K317" s="2">
        <v>165.4</v>
      </c>
      <c r="L317" s="2">
        <v>122.1</v>
      </c>
      <c r="M317" s="2">
        <v>170.8</v>
      </c>
      <c r="N317" s="2">
        <v>169.1</v>
      </c>
      <c r="O317" s="2">
        <v>174.3</v>
      </c>
      <c r="P317" s="2">
        <v>167.5</v>
      </c>
      <c r="Q317" s="2">
        <v>191.4</v>
      </c>
      <c r="R317" s="2">
        <v>170.4</v>
      </c>
      <c r="S317" s="2">
        <v>166</v>
      </c>
      <c r="T317" s="2">
        <v>169.8</v>
      </c>
      <c r="U317" s="1" t="s">
        <v>32</v>
      </c>
      <c r="V317" s="2">
        <v>165.3</v>
      </c>
      <c r="W317" s="2">
        <v>162.9</v>
      </c>
      <c r="X317" s="2">
        <v>173.4</v>
      </c>
      <c r="Y317" s="2">
        <v>158.9</v>
      </c>
      <c r="Z317" s="2">
        <v>163.80000000000001</v>
      </c>
      <c r="AA317" s="2">
        <v>169.3</v>
      </c>
      <c r="AB317" s="2">
        <v>162.4</v>
      </c>
      <c r="AC317" s="2">
        <v>165.2</v>
      </c>
      <c r="AD317" s="2">
        <v>167.6</v>
      </c>
    </row>
    <row r="318" spans="1:30" ht="26.5" thickBot="1" x14ac:dyDescent="0.4">
      <c r="A318" s="1" t="s">
        <v>33</v>
      </c>
      <c r="B318" s="2">
        <v>2021</v>
      </c>
      <c r="C318" s="1" t="s">
        <v>44</v>
      </c>
      <c r="D318" s="2">
        <v>151</v>
      </c>
      <c r="E318" s="2">
        <v>204.9</v>
      </c>
      <c r="F318" s="2">
        <v>175.4</v>
      </c>
      <c r="G318" s="2">
        <v>159.6</v>
      </c>
      <c r="H318" s="2">
        <v>175.8</v>
      </c>
      <c r="I318" s="2">
        <v>160.30000000000001</v>
      </c>
      <c r="J318" s="2">
        <v>229.1</v>
      </c>
      <c r="K318" s="2">
        <v>165.1</v>
      </c>
      <c r="L318" s="2">
        <v>123.1</v>
      </c>
      <c r="M318" s="2">
        <v>167.2</v>
      </c>
      <c r="N318" s="2">
        <v>156.1</v>
      </c>
      <c r="O318" s="2">
        <v>176.8</v>
      </c>
      <c r="P318" s="2">
        <v>173.5</v>
      </c>
      <c r="Q318" s="2">
        <v>197</v>
      </c>
      <c r="R318" s="2">
        <v>162.30000000000001</v>
      </c>
      <c r="S318" s="2">
        <v>145.30000000000001</v>
      </c>
      <c r="T318" s="2">
        <v>159.69999999999999</v>
      </c>
      <c r="U318" s="2">
        <v>164.2</v>
      </c>
      <c r="V318" s="2">
        <v>161.6</v>
      </c>
      <c r="W318" s="2">
        <v>155.19999999999999</v>
      </c>
      <c r="X318" s="2">
        <v>164.2</v>
      </c>
      <c r="Y318" s="2">
        <v>151.19999999999999</v>
      </c>
      <c r="Z318" s="2">
        <v>156.69999999999999</v>
      </c>
      <c r="AA318" s="2">
        <v>160.80000000000001</v>
      </c>
      <c r="AB318" s="2">
        <v>161.80000000000001</v>
      </c>
      <c r="AC318" s="2">
        <v>157.30000000000001</v>
      </c>
      <c r="AD318" s="2">
        <v>165.6</v>
      </c>
    </row>
    <row r="319" spans="1:30" ht="26.5" thickBot="1" x14ac:dyDescent="0.4">
      <c r="A319" s="1" t="s">
        <v>34</v>
      </c>
      <c r="B319" s="2">
        <v>2021</v>
      </c>
      <c r="C319" s="1" t="s">
        <v>44</v>
      </c>
      <c r="D319" s="2">
        <v>148.19999999999999</v>
      </c>
      <c r="E319" s="2">
        <v>201.6</v>
      </c>
      <c r="F319" s="2">
        <v>173</v>
      </c>
      <c r="G319" s="2">
        <v>159.30000000000001</v>
      </c>
      <c r="H319" s="2">
        <v>190.1</v>
      </c>
      <c r="I319" s="2">
        <v>156.5</v>
      </c>
      <c r="J319" s="2">
        <v>199.2</v>
      </c>
      <c r="K319" s="2">
        <v>165.3</v>
      </c>
      <c r="L319" s="2">
        <v>122.4</v>
      </c>
      <c r="M319" s="2">
        <v>169.6</v>
      </c>
      <c r="N319" s="2">
        <v>163.69999999999999</v>
      </c>
      <c r="O319" s="2">
        <v>175.5</v>
      </c>
      <c r="P319" s="2">
        <v>169.7</v>
      </c>
      <c r="Q319" s="2">
        <v>192.9</v>
      </c>
      <c r="R319" s="2">
        <v>167.2</v>
      </c>
      <c r="S319" s="2">
        <v>157.4</v>
      </c>
      <c r="T319" s="2">
        <v>165.8</v>
      </c>
      <c r="U319" s="2">
        <v>164.2</v>
      </c>
      <c r="V319" s="2">
        <v>163.9</v>
      </c>
      <c r="W319" s="2">
        <v>159.30000000000001</v>
      </c>
      <c r="X319" s="2">
        <v>169.9</v>
      </c>
      <c r="Y319" s="2">
        <v>154.80000000000001</v>
      </c>
      <c r="Z319" s="2">
        <v>159.80000000000001</v>
      </c>
      <c r="AA319" s="2">
        <v>164.3</v>
      </c>
      <c r="AB319" s="2">
        <v>162.19999999999999</v>
      </c>
      <c r="AC319" s="2">
        <v>161.4</v>
      </c>
      <c r="AD319" s="2">
        <v>166.7</v>
      </c>
    </row>
    <row r="320" spans="1:30" ht="26.5" thickBot="1" x14ac:dyDescent="0.4">
      <c r="A320" s="1" t="s">
        <v>30</v>
      </c>
      <c r="B320" s="2">
        <v>2021</v>
      </c>
      <c r="C320" s="1" t="s">
        <v>45</v>
      </c>
      <c r="D320" s="2">
        <v>147.4</v>
      </c>
      <c r="E320" s="2">
        <v>197</v>
      </c>
      <c r="F320" s="2">
        <v>176.5</v>
      </c>
      <c r="G320" s="2">
        <v>159.80000000000001</v>
      </c>
      <c r="H320" s="2">
        <v>195.8</v>
      </c>
      <c r="I320" s="2">
        <v>152</v>
      </c>
      <c r="J320" s="2">
        <v>172.3</v>
      </c>
      <c r="K320" s="2">
        <v>164.5</v>
      </c>
      <c r="L320" s="2">
        <v>120.6</v>
      </c>
      <c r="M320" s="2">
        <v>171.7</v>
      </c>
      <c r="N320" s="2">
        <v>169.7</v>
      </c>
      <c r="O320" s="2">
        <v>175.1</v>
      </c>
      <c r="P320" s="2">
        <v>165.8</v>
      </c>
      <c r="Q320" s="2">
        <v>190.8</v>
      </c>
      <c r="R320" s="2">
        <v>171.8</v>
      </c>
      <c r="S320" s="2">
        <v>167.3</v>
      </c>
      <c r="T320" s="2">
        <v>171.2</v>
      </c>
      <c r="U320" s="1" t="s">
        <v>32</v>
      </c>
      <c r="V320" s="2">
        <v>165.6</v>
      </c>
      <c r="W320" s="2">
        <v>163.9</v>
      </c>
      <c r="X320" s="2">
        <v>174</v>
      </c>
      <c r="Y320" s="2">
        <v>160.1</v>
      </c>
      <c r="Z320" s="2">
        <v>164.5</v>
      </c>
      <c r="AA320" s="2">
        <v>169.7</v>
      </c>
      <c r="AB320" s="2">
        <v>162.80000000000001</v>
      </c>
      <c r="AC320" s="2">
        <v>166</v>
      </c>
      <c r="AD320" s="2">
        <v>167</v>
      </c>
    </row>
    <row r="321" spans="1:30" ht="26.5" thickBot="1" x14ac:dyDescent="0.4">
      <c r="A321" s="1" t="s">
        <v>33</v>
      </c>
      <c r="B321" s="2">
        <v>2021</v>
      </c>
      <c r="C321" s="1" t="s">
        <v>45</v>
      </c>
      <c r="D321" s="2">
        <v>151.6</v>
      </c>
      <c r="E321" s="2">
        <v>202.2</v>
      </c>
      <c r="F321" s="2">
        <v>180</v>
      </c>
      <c r="G321" s="2">
        <v>160</v>
      </c>
      <c r="H321" s="2">
        <v>173.5</v>
      </c>
      <c r="I321" s="2">
        <v>158.30000000000001</v>
      </c>
      <c r="J321" s="2">
        <v>219.5</v>
      </c>
      <c r="K321" s="2">
        <v>164.2</v>
      </c>
      <c r="L321" s="2">
        <v>121.9</v>
      </c>
      <c r="M321" s="2">
        <v>168.2</v>
      </c>
      <c r="N321" s="2">
        <v>156.5</v>
      </c>
      <c r="O321" s="2">
        <v>178.2</v>
      </c>
      <c r="P321" s="2">
        <v>172.2</v>
      </c>
      <c r="Q321" s="2">
        <v>196.8</v>
      </c>
      <c r="R321" s="2">
        <v>163.30000000000001</v>
      </c>
      <c r="S321" s="2">
        <v>146.69999999999999</v>
      </c>
      <c r="T321" s="2">
        <v>160.69999999999999</v>
      </c>
      <c r="U321" s="2">
        <v>163.4</v>
      </c>
      <c r="V321" s="2">
        <v>161.69999999999999</v>
      </c>
      <c r="W321" s="2">
        <v>156</v>
      </c>
      <c r="X321" s="2">
        <v>165.1</v>
      </c>
      <c r="Y321" s="2">
        <v>151.80000000000001</v>
      </c>
      <c r="Z321" s="2">
        <v>157.6</v>
      </c>
      <c r="AA321" s="2">
        <v>160.6</v>
      </c>
      <c r="AB321" s="2">
        <v>162.4</v>
      </c>
      <c r="AC321" s="2">
        <v>157.80000000000001</v>
      </c>
      <c r="AD321" s="2">
        <v>165.2</v>
      </c>
    </row>
    <row r="322" spans="1:30" ht="26.5" thickBot="1" x14ac:dyDescent="0.4">
      <c r="A322" s="1" t="s">
        <v>34</v>
      </c>
      <c r="B322" s="2">
        <v>2021</v>
      </c>
      <c r="C322" s="1" t="s">
        <v>45</v>
      </c>
      <c r="D322" s="2">
        <v>148.69999999999999</v>
      </c>
      <c r="E322" s="2">
        <v>198.8</v>
      </c>
      <c r="F322" s="2">
        <v>177.9</v>
      </c>
      <c r="G322" s="2">
        <v>159.9</v>
      </c>
      <c r="H322" s="2">
        <v>187.6</v>
      </c>
      <c r="I322" s="2">
        <v>154.9</v>
      </c>
      <c r="J322" s="2">
        <v>188.3</v>
      </c>
      <c r="K322" s="2">
        <v>164.4</v>
      </c>
      <c r="L322" s="2">
        <v>121</v>
      </c>
      <c r="M322" s="2">
        <v>170.5</v>
      </c>
      <c r="N322" s="2">
        <v>164.2</v>
      </c>
      <c r="O322" s="2">
        <v>176.5</v>
      </c>
      <c r="P322" s="2">
        <v>168.2</v>
      </c>
      <c r="Q322" s="2">
        <v>192.4</v>
      </c>
      <c r="R322" s="2">
        <v>168.5</v>
      </c>
      <c r="S322" s="2">
        <v>158.69999999999999</v>
      </c>
      <c r="T322" s="2">
        <v>167</v>
      </c>
      <c r="U322" s="2">
        <v>163.4</v>
      </c>
      <c r="V322" s="2">
        <v>164.1</v>
      </c>
      <c r="W322" s="2">
        <v>160.19999999999999</v>
      </c>
      <c r="X322" s="2">
        <v>170.6</v>
      </c>
      <c r="Y322" s="2">
        <v>155.69999999999999</v>
      </c>
      <c r="Z322" s="2">
        <v>160.6</v>
      </c>
      <c r="AA322" s="2">
        <v>164.4</v>
      </c>
      <c r="AB322" s="2">
        <v>162.6</v>
      </c>
      <c r="AC322" s="2">
        <v>162</v>
      </c>
      <c r="AD322" s="2">
        <v>166.2</v>
      </c>
    </row>
    <row r="323" spans="1:30" ht="15" thickBot="1" x14ac:dyDescent="0.4">
      <c r="A323" s="1" t="s">
        <v>30</v>
      </c>
      <c r="B323" s="2">
        <v>2022</v>
      </c>
      <c r="C323" s="1" t="s">
        <v>31</v>
      </c>
      <c r="D323" s="2">
        <v>148.30000000000001</v>
      </c>
      <c r="E323" s="2">
        <v>196.9</v>
      </c>
      <c r="F323" s="2">
        <v>178</v>
      </c>
      <c r="G323" s="2">
        <v>160.5</v>
      </c>
      <c r="H323" s="2">
        <v>192.6</v>
      </c>
      <c r="I323" s="2">
        <v>151.19999999999999</v>
      </c>
      <c r="J323" s="2">
        <v>159.19999999999999</v>
      </c>
      <c r="K323" s="2">
        <v>164</v>
      </c>
      <c r="L323" s="2">
        <v>119.3</v>
      </c>
      <c r="M323" s="2">
        <v>173.3</v>
      </c>
      <c r="N323" s="2">
        <v>169.8</v>
      </c>
      <c r="O323" s="2">
        <v>175.8</v>
      </c>
      <c r="P323" s="2">
        <v>164.1</v>
      </c>
      <c r="Q323" s="2">
        <v>190.7</v>
      </c>
      <c r="R323" s="2">
        <v>173.2</v>
      </c>
      <c r="S323" s="2">
        <v>169.3</v>
      </c>
      <c r="T323" s="2">
        <v>172.7</v>
      </c>
      <c r="U323" s="1" t="s">
        <v>32</v>
      </c>
      <c r="V323" s="2">
        <v>165.8</v>
      </c>
      <c r="W323" s="2">
        <v>164.9</v>
      </c>
      <c r="X323" s="2">
        <v>174.7</v>
      </c>
      <c r="Y323" s="2">
        <v>160.80000000000001</v>
      </c>
      <c r="Z323" s="2">
        <v>164.9</v>
      </c>
      <c r="AA323" s="2">
        <v>169.9</v>
      </c>
      <c r="AB323" s="2">
        <v>163.19999999999999</v>
      </c>
      <c r="AC323" s="2">
        <v>166.6</v>
      </c>
      <c r="AD323" s="2">
        <v>166.4</v>
      </c>
    </row>
    <row r="324" spans="1:30" ht="15" thickBot="1" x14ac:dyDescent="0.4">
      <c r="A324" s="1" t="s">
        <v>33</v>
      </c>
      <c r="B324" s="2">
        <v>2022</v>
      </c>
      <c r="C324" s="1" t="s">
        <v>31</v>
      </c>
      <c r="D324" s="2">
        <v>152.19999999999999</v>
      </c>
      <c r="E324" s="2">
        <v>202.1</v>
      </c>
      <c r="F324" s="2">
        <v>180.1</v>
      </c>
      <c r="G324" s="2">
        <v>160.4</v>
      </c>
      <c r="H324" s="2">
        <v>171</v>
      </c>
      <c r="I324" s="2">
        <v>156.5</v>
      </c>
      <c r="J324" s="2">
        <v>203.6</v>
      </c>
      <c r="K324" s="2">
        <v>163.80000000000001</v>
      </c>
      <c r="L324" s="2">
        <v>121.3</v>
      </c>
      <c r="M324" s="2">
        <v>169.8</v>
      </c>
      <c r="N324" s="2">
        <v>156.6</v>
      </c>
      <c r="O324" s="2">
        <v>179</v>
      </c>
      <c r="P324" s="2">
        <v>170.3</v>
      </c>
      <c r="Q324" s="2">
        <v>196.4</v>
      </c>
      <c r="R324" s="2">
        <v>164.7</v>
      </c>
      <c r="S324" s="2">
        <v>148.5</v>
      </c>
      <c r="T324" s="2">
        <v>162.19999999999999</v>
      </c>
      <c r="U324" s="2">
        <v>164.5</v>
      </c>
      <c r="V324" s="2">
        <v>161.6</v>
      </c>
      <c r="W324" s="2">
        <v>156.80000000000001</v>
      </c>
      <c r="X324" s="2">
        <v>166.1</v>
      </c>
      <c r="Y324" s="2">
        <v>152.69999999999999</v>
      </c>
      <c r="Z324" s="2">
        <v>158.4</v>
      </c>
      <c r="AA324" s="2">
        <v>161</v>
      </c>
      <c r="AB324" s="2">
        <v>162.80000000000001</v>
      </c>
      <c r="AC324" s="2">
        <v>158.6</v>
      </c>
      <c r="AD324" s="2">
        <v>165</v>
      </c>
    </row>
    <row r="325" spans="1:30" ht="26.5" thickBot="1" x14ac:dyDescent="0.4">
      <c r="A325" s="1" t="s">
        <v>34</v>
      </c>
      <c r="B325" s="2">
        <v>2022</v>
      </c>
      <c r="C325" s="1" t="s">
        <v>31</v>
      </c>
      <c r="D325" s="2">
        <v>149.5</v>
      </c>
      <c r="E325" s="2">
        <v>198.7</v>
      </c>
      <c r="F325" s="2">
        <v>178.8</v>
      </c>
      <c r="G325" s="2">
        <v>160.5</v>
      </c>
      <c r="H325" s="2">
        <v>184.7</v>
      </c>
      <c r="I325" s="2">
        <v>153.69999999999999</v>
      </c>
      <c r="J325" s="2">
        <v>174.3</v>
      </c>
      <c r="K325" s="2">
        <v>163.9</v>
      </c>
      <c r="L325" s="2">
        <v>120</v>
      </c>
      <c r="M325" s="2">
        <v>172.1</v>
      </c>
      <c r="N325" s="2">
        <v>164.3</v>
      </c>
      <c r="O325" s="2">
        <v>177.3</v>
      </c>
      <c r="P325" s="2">
        <v>166.4</v>
      </c>
      <c r="Q325" s="2">
        <v>192.2</v>
      </c>
      <c r="R325" s="2">
        <v>169.9</v>
      </c>
      <c r="S325" s="2">
        <v>160.69999999999999</v>
      </c>
      <c r="T325" s="2">
        <v>168.5</v>
      </c>
      <c r="U325" s="2">
        <v>164.5</v>
      </c>
      <c r="V325" s="2">
        <v>164.2</v>
      </c>
      <c r="W325" s="2">
        <v>161.1</v>
      </c>
      <c r="X325" s="2">
        <v>171.4</v>
      </c>
      <c r="Y325" s="2">
        <v>156.5</v>
      </c>
      <c r="Z325" s="2">
        <v>161.19999999999999</v>
      </c>
      <c r="AA325" s="2">
        <v>164.7</v>
      </c>
      <c r="AB325" s="2">
        <v>163</v>
      </c>
      <c r="AC325" s="2">
        <v>162.69999999999999</v>
      </c>
      <c r="AD325" s="2">
        <v>165.7</v>
      </c>
    </row>
    <row r="326" spans="1:30" ht="15" thickBot="1" x14ac:dyDescent="0.4">
      <c r="A326" s="1" t="s">
        <v>30</v>
      </c>
      <c r="B326" s="2">
        <v>2022</v>
      </c>
      <c r="C326" s="1" t="s">
        <v>35</v>
      </c>
      <c r="D326" s="2">
        <v>148.80000000000001</v>
      </c>
      <c r="E326" s="2">
        <v>198.1</v>
      </c>
      <c r="F326" s="2">
        <v>175.5</v>
      </c>
      <c r="G326" s="2">
        <v>160.69999999999999</v>
      </c>
      <c r="H326" s="2">
        <v>192.6</v>
      </c>
      <c r="I326" s="2">
        <v>151.4</v>
      </c>
      <c r="J326" s="2">
        <v>155.19999999999999</v>
      </c>
      <c r="K326" s="2">
        <v>163.9</v>
      </c>
      <c r="L326" s="2">
        <v>118.1</v>
      </c>
      <c r="M326" s="2">
        <v>175.4</v>
      </c>
      <c r="N326" s="2">
        <v>170.5</v>
      </c>
      <c r="O326" s="2">
        <v>176.3</v>
      </c>
      <c r="P326" s="2">
        <v>163.9</v>
      </c>
      <c r="Q326" s="2">
        <v>191.5</v>
      </c>
      <c r="R326" s="2">
        <v>174.1</v>
      </c>
      <c r="S326" s="2">
        <v>171</v>
      </c>
      <c r="T326" s="2">
        <v>173.7</v>
      </c>
      <c r="U326" s="1" t="s">
        <v>32</v>
      </c>
      <c r="V326" s="2">
        <v>167.4</v>
      </c>
      <c r="W326" s="2">
        <v>165.7</v>
      </c>
      <c r="X326" s="2">
        <v>175.3</v>
      </c>
      <c r="Y326" s="2">
        <v>161.19999999999999</v>
      </c>
      <c r="Z326" s="2">
        <v>165.5</v>
      </c>
      <c r="AA326" s="2">
        <v>170.3</v>
      </c>
      <c r="AB326" s="2">
        <v>164.5</v>
      </c>
      <c r="AC326" s="2">
        <v>167.3</v>
      </c>
      <c r="AD326" s="2">
        <v>166.7</v>
      </c>
    </row>
    <row r="327" spans="1:30" ht="15" thickBot="1" x14ac:dyDescent="0.4">
      <c r="A327" s="1" t="s">
        <v>33</v>
      </c>
      <c r="B327" s="2">
        <v>2022</v>
      </c>
      <c r="C327" s="1" t="s">
        <v>35</v>
      </c>
      <c r="D327" s="2">
        <v>152.5</v>
      </c>
      <c r="E327" s="2">
        <v>205.2</v>
      </c>
      <c r="F327" s="2">
        <v>176.4</v>
      </c>
      <c r="G327" s="2">
        <v>160.6</v>
      </c>
      <c r="H327" s="2">
        <v>171.5</v>
      </c>
      <c r="I327" s="2">
        <v>156.4</v>
      </c>
      <c r="J327" s="2">
        <v>198</v>
      </c>
      <c r="K327" s="2">
        <v>163.19999999999999</v>
      </c>
      <c r="L327" s="2">
        <v>120.6</v>
      </c>
      <c r="M327" s="2">
        <v>172.2</v>
      </c>
      <c r="N327" s="2">
        <v>156.69999999999999</v>
      </c>
      <c r="O327" s="2">
        <v>180</v>
      </c>
      <c r="P327" s="2">
        <v>170.2</v>
      </c>
      <c r="Q327" s="2">
        <v>196.5</v>
      </c>
      <c r="R327" s="2">
        <v>165.7</v>
      </c>
      <c r="S327" s="2">
        <v>150.4</v>
      </c>
      <c r="T327" s="2">
        <v>163.4</v>
      </c>
      <c r="U327" s="2">
        <v>165.5</v>
      </c>
      <c r="V327" s="2">
        <v>163</v>
      </c>
      <c r="W327" s="2">
        <v>157.4</v>
      </c>
      <c r="X327" s="2">
        <v>167.2</v>
      </c>
      <c r="Y327" s="2">
        <v>153.1</v>
      </c>
      <c r="Z327" s="2">
        <v>159.5</v>
      </c>
      <c r="AA327" s="2">
        <v>162</v>
      </c>
      <c r="AB327" s="2">
        <v>164.2</v>
      </c>
      <c r="AC327" s="2">
        <v>159.4</v>
      </c>
      <c r="AD327" s="2">
        <v>165.5</v>
      </c>
    </row>
    <row r="328" spans="1:30" ht="26.5" thickBot="1" x14ac:dyDescent="0.4">
      <c r="A328" s="1" t="s">
        <v>34</v>
      </c>
      <c r="B328" s="2">
        <v>2022</v>
      </c>
      <c r="C328" s="1" t="s">
        <v>35</v>
      </c>
      <c r="D328" s="2">
        <v>150</v>
      </c>
      <c r="E328" s="2">
        <v>200.6</v>
      </c>
      <c r="F328" s="2">
        <v>175.8</v>
      </c>
      <c r="G328" s="2">
        <v>160.69999999999999</v>
      </c>
      <c r="H328" s="2">
        <v>184.9</v>
      </c>
      <c r="I328" s="2">
        <v>153.69999999999999</v>
      </c>
      <c r="J328" s="2">
        <v>169.7</v>
      </c>
      <c r="K328" s="2">
        <v>163.69999999999999</v>
      </c>
      <c r="L328" s="2">
        <v>118.9</v>
      </c>
      <c r="M328" s="2">
        <v>174.3</v>
      </c>
      <c r="N328" s="2">
        <v>164.7</v>
      </c>
      <c r="O328" s="2">
        <v>178</v>
      </c>
      <c r="P328" s="2">
        <v>166.2</v>
      </c>
      <c r="Q328" s="2">
        <v>192.8</v>
      </c>
      <c r="R328" s="2">
        <v>170.8</v>
      </c>
      <c r="S328" s="2">
        <v>162.4</v>
      </c>
      <c r="T328" s="2">
        <v>169.6</v>
      </c>
      <c r="U328" s="2">
        <v>165.5</v>
      </c>
      <c r="V328" s="2">
        <v>165.7</v>
      </c>
      <c r="W328" s="2">
        <v>161.80000000000001</v>
      </c>
      <c r="X328" s="2">
        <v>172.2</v>
      </c>
      <c r="Y328" s="2">
        <v>156.9</v>
      </c>
      <c r="Z328" s="2">
        <v>162.1</v>
      </c>
      <c r="AA328" s="2">
        <v>165.4</v>
      </c>
      <c r="AB328" s="2">
        <v>164.4</v>
      </c>
      <c r="AC328" s="2">
        <v>163.5</v>
      </c>
      <c r="AD328" s="2">
        <v>166.1</v>
      </c>
    </row>
    <row r="329" spans="1:30" ht="15" thickBot="1" x14ac:dyDescent="0.4">
      <c r="A329" s="1" t="s">
        <v>30</v>
      </c>
      <c r="B329" s="2">
        <v>2022</v>
      </c>
      <c r="C329" s="1" t="s">
        <v>36</v>
      </c>
      <c r="D329" s="2">
        <v>150.19999999999999</v>
      </c>
      <c r="E329" s="2">
        <v>208</v>
      </c>
      <c r="F329" s="2">
        <v>167.9</v>
      </c>
      <c r="G329" s="2">
        <v>162</v>
      </c>
      <c r="H329" s="2">
        <v>203.1</v>
      </c>
      <c r="I329" s="2">
        <v>155.9</v>
      </c>
      <c r="J329" s="2">
        <v>155.80000000000001</v>
      </c>
      <c r="K329" s="2">
        <v>164.2</v>
      </c>
      <c r="L329" s="2">
        <v>118.1</v>
      </c>
      <c r="M329" s="2">
        <v>178.7</v>
      </c>
      <c r="N329" s="2">
        <v>171.2</v>
      </c>
      <c r="O329" s="2">
        <v>177.4</v>
      </c>
      <c r="P329" s="2">
        <v>166.6</v>
      </c>
      <c r="Q329" s="2">
        <v>192.3</v>
      </c>
      <c r="R329" s="2">
        <v>175.4</v>
      </c>
      <c r="S329" s="2">
        <v>173.2</v>
      </c>
      <c r="T329" s="2">
        <v>175.1</v>
      </c>
      <c r="U329" s="1" t="s">
        <v>32</v>
      </c>
      <c r="V329" s="2">
        <v>168.9</v>
      </c>
      <c r="W329" s="2">
        <v>166.5</v>
      </c>
      <c r="X329" s="2">
        <v>176</v>
      </c>
      <c r="Y329" s="2">
        <v>162</v>
      </c>
      <c r="Z329" s="2">
        <v>166.6</v>
      </c>
      <c r="AA329" s="2">
        <v>170.6</v>
      </c>
      <c r="AB329" s="2">
        <v>167.4</v>
      </c>
      <c r="AC329" s="2">
        <v>168.3</v>
      </c>
      <c r="AD329" s="2">
        <v>168.7</v>
      </c>
    </row>
    <row r="330" spans="1:30" ht="15" thickBot="1" x14ac:dyDescent="0.4">
      <c r="A330" s="1" t="s">
        <v>33</v>
      </c>
      <c r="B330" s="2">
        <v>2022</v>
      </c>
      <c r="C330" s="1" t="s">
        <v>36</v>
      </c>
      <c r="D330" s="2">
        <v>153.69999999999999</v>
      </c>
      <c r="E330" s="2">
        <v>215.8</v>
      </c>
      <c r="F330" s="2">
        <v>167.7</v>
      </c>
      <c r="G330" s="2">
        <v>162.6</v>
      </c>
      <c r="H330" s="2">
        <v>180</v>
      </c>
      <c r="I330" s="2">
        <v>159.6</v>
      </c>
      <c r="J330" s="2">
        <v>188.4</v>
      </c>
      <c r="K330" s="2">
        <v>163.4</v>
      </c>
      <c r="L330" s="2">
        <v>120.3</v>
      </c>
      <c r="M330" s="2">
        <v>174.7</v>
      </c>
      <c r="N330" s="2">
        <v>157.1</v>
      </c>
      <c r="O330" s="2">
        <v>181.5</v>
      </c>
      <c r="P330" s="2">
        <v>171.5</v>
      </c>
      <c r="Q330" s="2">
        <v>197.5</v>
      </c>
      <c r="R330" s="2">
        <v>167.1</v>
      </c>
      <c r="S330" s="2">
        <v>152.6</v>
      </c>
      <c r="T330" s="2">
        <v>164.9</v>
      </c>
      <c r="U330" s="2">
        <v>165.3</v>
      </c>
      <c r="V330" s="2">
        <v>164.5</v>
      </c>
      <c r="W330" s="2">
        <v>158.6</v>
      </c>
      <c r="X330" s="2">
        <v>168.2</v>
      </c>
      <c r="Y330" s="2">
        <v>154.19999999999999</v>
      </c>
      <c r="Z330" s="2">
        <v>160.80000000000001</v>
      </c>
      <c r="AA330" s="2">
        <v>162.69999999999999</v>
      </c>
      <c r="AB330" s="2">
        <v>166.8</v>
      </c>
      <c r="AC330" s="2">
        <v>160.6</v>
      </c>
      <c r="AD330" s="2">
        <v>166.5</v>
      </c>
    </row>
    <row r="331" spans="1:30" ht="26.5" thickBot="1" x14ac:dyDescent="0.4">
      <c r="A331" s="1" t="s">
        <v>34</v>
      </c>
      <c r="B331" s="2">
        <v>2022</v>
      </c>
      <c r="C331" s="1" t="s">
        <v>36</v>
      </c>
      <c r="D331" s="2">
        <v>151.30000000000001</v>
      </c>
      <c r="E331" s="2">
        <v>210.7</v>
      </c>
      <c r="F331" s="2">
        <v>167.8</v>
      </c>
      <c r="G331" s="2">
        <v>162.19999999999999</v>
      </c>
      <c r="H331" s="2">
        <v>194.6</v>
      </c>
      <c r="I331" s="2">
        <v>157.6</v>
      </c>
      <c r="J331" s="2">
        <v>166.9</v>
      </c>
      <c r="K331" s="2">
        <v>163.9</v>
      </c>
      <c r="L331" s="2">
        <v>118.8</v>
      </c>
      <c r="M331" s="2">
        <v>177.4</v>
      </c>
      <c r="N331" s="2">
        <v>165.3</v>
      </c>
      <c r="O331" s="2">
        <v>179.3</v>
      </c>
      <c r="P331" s="2">
        <v>168.4</v>
      </c>
      <c r="Q331" s="2">
        <v>193.7</v>
      </c>
      <c r="R331" s="2">
        <v>172.1</v>
      </c>
      <c r="S331" s="2">
        <v>164.6</v>
      </c>
      <c r="T331" s="2">
        <v>171.1</v>
      </c>
      <c r="U331" s="2">
        <v>165.3</v>
      </c>
      <c r="V331" s="2">
        <v>167.2</v>
      </c>
      <c r="W331" s="2">
        <v>162.80000000000001</v>
      </c>
      <c r="X331" s="2">
        <v>173</v>
      </c>
      <c r="Y331" s="2">
        <v>157.9</v>
      </c>
      <c r="Z331" s="2">
        <v>163.30000000000001</v>
      </c>
      <c r="AA331" s="2">
        <v>166</v>
      </c>
      <c r="AB331" s="2">
        <v>167.2</v>
      </c>
      <c r="AC331" s="2">
        <v>164.6</v>
      </c>
      <c r="AD331" s="2">
        <v>167.7</v>
      </c>
    </row>
    <row r="332" spans="1:30" ht="15" thickBot="1" x14ac:dyDescent="0.4">
      <c r="A332" s="1" t="s">
        <v>30</v>
      </c>
      <c r="B332" s="2">
        <v>2022</v>
      </c>
      <c r="C332" s="1" t="s">
        <v>37</v>
      </c>
      <c r="D332" s="2">
        <v>151.80000000000001</v>
      </c>
      <c r="E332" s="2">
        <v>209.7</v>
      </c>
      <c r="F332" s="2">
        <v>164.5</v>
      </c>
      <c r="G332" s="2">
        <v>163.80000000000001</v>
      </c>
      <c r="H332" s="2">
        <v>207.4</v>
      </c>
      <c r="I332" s="2">
        <v>169.7</v>
      </c>
      <c r="J332" s="2">
        <v>153.6</v>
      </c>
      <c r="K332" s="2">
        <v>165.1</v>
      </c>
      <c r="L332" s="2">
        <v>118.2</v>
      </c>
      <c r="M332" s="2">
        <v>182.9</v>
      </c>
      <c r="N332" s="2">
        <v>172.4</v>
      </c>
      <c r="O332" s="2">
        <v>178.9</v>
      </c>
      <c r="P332" s="2">
        <v>168.6</v>
      </c>
      <c r="Q332" s="2">
        <v>192.8</v>
      </c>
      <c r="R332" s="2">
        <v>177.5</v>
      </c>
      <c r="S332" s="2">
        <v>175.1</v>
      </c>
      <c r="T332" s="2">
        <v>177.1</v>
      </c>
      <c r="U332" s="1" t="s">
        <v>32</v>
      </c>
      <c r="V332" s="2">
        <v>173.3</v>
      </c>
      <c r="W332" s="2">
        <v>167.7</v>
      </c>
      <c r="X332" s="2">
        <v>177</v>
      </c>
      <c r="Y332" s="2">
        <v>166.2</v>
      </c>
      <c r="Z332" s="2">
        <v>167.2</v>
      </c>
      <c r="AA332" s="2">
        <v>170.9</v>
      </c>
      <c r="AB332" s="2">
        <v>169</v>
      </c>
      <c r="AC332" s="2">
        <v>170.2</v>
      </c>
      <c r="AD332" s="2">
        <v>170.8</v>
      </c>
    </row>
    <row r="333" spans="1:30" ht="15" thickBot="1" x14ac:dyDescent="0.4">
      <c r="A333" s="1" t="s">
        <v>33</v>
      </c>
      <c r="B333" s="2">
        <v>2022</v>
      </c>
      <c r="C333" s="1" t="s">
        <v>37</v>
      </c>
      <c r="D333" s="2">
        <v>155.4</v>
      </c>
      <c r="E333" s="2">
        <v>215.8</v>
      </c>
      <c r="F333" s="2">
        <v>164.6</v>
      </c>
      <c r="G333" s="2">
        <v>164.2</v>
      </c>
      <c r="H333" s="2">
        <v>186</v>
      </c>
      <c r="I333" s="2">
        <v>175.9</v>
      </c>
      <c r="J333" s="2">
        <v>190.7</v>
      </c>
      <c r="K333" s="2">
        <v>164</v>
      </c>
      <c r="L333" s="2">
        <v>120.5</v>
      </c>
      <c r="M333" s="2">
        <v>178</v>
      </c>
      <c r="N333" s="2">
        <v>157.5</v>
      </c>
      <c r="O333" s="2">
        <v>183.3</v>
      </c>
      <c r="P333" s="2">
        <v>174.5</v>
      </c>
      <c r="Q333" s="2">
        <v>197.1</v>
      </c>
      <c r="R333" s="2">
        <v>168.4</v>
      </c>
      <c r="S333" s="2">
        <v>154.5</v>
      </c>
      <c r="T333" s="2">
        <v>166.3</v>
      </c>
      <c r="U333" s="2">
        <v>167</v>
      </c>
      <c r="V333" s="2">
        <v>170.5</v>
      </c>
      <c r="W333" s="2">
        <v>159.80000000000001</v>
      </c>
      <c r="X333" s="2">
        <v>169</v>
      </c>
      <c r="Y333" s="2">
        <v>159.30000000000001</v>
      </c>
      <c r="Z333" s="2">
        <v>162.19999999999999</v>
      </c>
      <c r="AA333" s="2">
        <v>164</v>
      </c>
      <c r="AB333" s="2">
        <v>168.4</v>
      </c>
      <c r="AC333" s="2">
        <v>163.1</v>
      </c>
      <c r="AD333" s="2">
        <v>169.2</v>
      </c>
    </row>
    <row r="334" spans="1:30" ht="26.5" thickBot="1" x14ac:dyDescent="0.4">
      <c r="A334" s="1" t="s">
        <v>34</v>
      </c>
      <c r="B334" s="2">
        <v>2022</v>
      </c>
      <c r="C334" s="1" t="s">
        <v>37</v>
      </c>
      <c r="D334" s="2">
        <v>152.9</v>
      </c>
      <c r="E334" s="2">
        <v>211.8</v>
      </c>
      <c r="F334" s="2">
        <v>164.5</v>
      </c>
      <c r="G334" s="2">
        <v>163.9</v>
      </c>
      <c r="H334" s="2">
        <v>199.5</v>
      </c>
      <c r="I334" s="2">
        <v>172.6</v>
      </c>
      <c r="J334" s="2">
        <v>166.2</v>
      </c>
      <c r="K334" s="2">
        <v>164.7</v>
      </c>
      <c r="L334" s="2">
        <v>119</v>
      </c>
      <c r="M334" s="2">
        <v>181.3</v>
      </c>
      <c r="N334" s="2">
        <v>166.2</v>
      </c>
      <c r="O334" s="2">
        <v>180.9</v>
      </c>
      <c r="P334" s="2">
        <v>170.8</v>
      </c>
      <c r="Q334" s="2">
        <v>193.9</v>
      </c>
      <c r="R334" s="2">
        <v>173.9</v>
      </c>
      <c r="S334" s="2">
        <v>166.5</v>
      </c>
      <c r="T334" s="2">
        <v>172.8</v>
      </c>
      <c r="U334" s="2">
        <v>167</v>
      </c>
      <c r="V334" s="2">
        <v>172.2</v>
      </c>
      <c r="W334" s="2">
        <v>164</v>
      </c>
      <c r="X334" s="2">
        <v>174</v>
      </c>
      <c r="Y334" s="2">
        <v>162.6</v>
      </c>
      <c r="Z334" s="2">
        <v>164.4</v>
      </c>
      <c r="AA334" s="2">
        <v>166.9</v>
      </c>
      <c r="AB334" s="2">
        <v>168.8</v>
      </c>
      <c r="AC334" s="2">
        <v>166.8</v>
      </c>
      <c r="AD334" s="2">
        <v>170.1</v>
      </c>
    </row>
    <row r="335" spans="1:30" ht="15" thickBot="1" x14ac:dyDescent="0.4">
      <c r="A335" s="1" t="s">
        <v>30</v>
      </c>
      <c r="B335" s="2">
        <v>2022</v>
      </c>
      <c r="C335" s="1" t="s">
        <v>38</v>
      </c>
      <c r="D335" s="2">
        <v>152.9</v>
      </c>
      <c r="E335" s="2">
        <v>214.7</v>
      </c>
      <c r="F335" s="2">
        <v>161.4</v>
      </c>
      <c r="G335" s="2">
        <v>164.6</v>
      </c>
      <c r="H335" s="2">
        <v>209.9</v>
      </c>
      <c r="I335" s="2">
        <v>168</v>
      </c>
      <c r="J335" s="2">
        <v>160.4</v>
      </c>
      <c r="K335" s="2">
        <v>165</v>
      </c>
      <c r="L335" s="2">
        <v>118.9</v>
      </c>
      <c r="M335" s="2">
        <v>186.6</v>
      </c>
      <c r="N335" s="2">
        <v>173.2</v>
      </c>
      <c r="O335" s="2">
        <v>180.4</v>
      </c>
      <c r="P335" s="2">
        <v>170.8</v>
      </c>
      <c r="Q335" s="2">
        <v>192.9</v>
      </c>
      <c r="R335" s="2">
        <v>179.3</v>
      </c>
      <c r="S335" s="2">
        <v>177.2</v>
      </c>
      <c r="T335" s="2">
        <v>179</v>
      </c>
      <c r="U335" s="1" t="s">
        <v>32</v>
      </c>
      <c r="V335" s="2">
        <v>175.3</v>
      </c>
      <c r="W335" s="2">
        <v>168.9</v>
      </c>
      <c r="X335" s="2">
        <v>177.7</v>
      </c>
      <c r="Y335" s="2">
        <v>167.1</v>
      </c>
      <c r="Z335" s="2">
        <v>167.6</v>
      </c>
      <c r="AA335" s="2">
        <v>171.8</v>
      </c>
      <c r="AB335" s="2">
        <v>168.5</v>
      </c>
      <c r="AC335" s="2">
        <v>170.9</v>
      </c>
      <c r="AD335" s="2">
        <v>172.5</v>
      </c>
    </row>
    <row r="336" spans="1:30" ht="15" thickBot="1" x14ac:dyDescent="0.4">
      <c r="A336" s="1" t="s">
        <v>33</v>
      </c>
      <c r="B336" s="2">
        <v>2022</v>
      </c>
      <c r="C336" s="1" t="s">
        <v>38</v>
      </c>
      <c r="D336" s="2">
        <v>156.69999999999999</v>
      </c>
      <c r="E336" s="2">
        <v>221.2</v>
      </c>
      <c r="F336" s="2">
        <v>164.1</v>
      </c>
      <c r="G336" s="2">
        <v>165.4</v>
      </c>
      <c r="H336" s="2">
        <v>189.5</v>
      </c>
      <c r="I336" s="2">
        <v>174.5</v>
      </c>
      <c r="J336" s="2">
        <v>203.2</v>
      </c>
      <c r="K336" s="2">
        <v>164.1</v>
      </c>
      <c r="L336" s="2">
        <v>121.2</v>
      </c>
      <c r="M336" s="2">
        <v>181.4</v>
      </c>
      <c r="N336" s="2">
        <v>158.5</v>
      </c>
      <c r="O336" s="2">
        <v>184.9</v>
      </c>
      <c r="P336" s="2">
        <v>177.5</v>
      </c>
      <c r="Q336" s="2">
        <v>197.5</v>
      </c>
      <c r="R336" s="2">
        <v>170</v>
      </c>
      <c r="S336" s="2">
        <v>155.9</v>
      </c>
      <c r="T336" s="2">
        <v>167.8</v>
      </c>
      <c r="U336" s="2">
        <v>167.5</v>
      </c>
      <c r="V336" s="2">
        <v>173.5</v>
      </c>
      <c r="W336" s="2">
        <v>161.1</v>
      </c>
      <c r="X336" s="2">
        <v>170.1</v>
      </c>
      <c r="Y336" s="2">
        <v>159.4</v>
      </c>
      <c r="Z336" s="2">
        <v>163.19999999999999</v>
      </c>
      <c r="AA336" s="2">
        <v>165.2</v>
      </c>
      <c r="AB336" s="2">
        <v>168.2</v>
      </c>
      <c r="AC336" s="2">
        <v>163.80000000000001</v>
      </c>
      <c r="AD336" s="2">
        <v>170.8</v>
      </c>
    </row>
    <row r="337" spans="1:30" ht="26.5" thickBot="1" x14ac:dyDescent="0.4">
      <c r="A337" s="1" t="s">
        <v>34</v>
      </c>
      <c r="B337" s="2">
        <v>2022</v>
      </c>
      <c r="C337" s="1" t="s">
        <v>38</v>
      </c>
      <c r="D337" s="2">
        <v>154.1</v>
      </c>
      <c r="E337" s="2">
        <v>217</v>
      </c>
      <c r="F337" s="2">
        <v>162.4</v>
      </c>
      <c r="G337" s="2">
        <v>164.9</v>
      </c>
      <c r="H337" s="2">
        <v>202.4</v>
      </c>
      <c r="I337" s="2">
        <v>171</v>
      </c>
      <c r="J337" s="2">
        <v>174.9</v>
      </c>
      <c r="K337" s="2">
        <v>164.7</v>
      </c>
      <c r="L337" s="2">
        <v>119.7</v>
      </c>
      <c r="M337" s="2">
        <v>184.9</v>
      </c>
      <c r="N337" s="2">
        <v>167.1</v>
      </c>
      <c r="O337" s="2">
        <v>182.5</v>
      </c>
      <c r="P337" s="2">
        <v>173.3</v>
      </c>
      <c r="Q337" s="2">
        <v>194.1</v>
      </c>
      <c r="R337" s="2">
        <v>175.6</v>
      </c>
      <c r="S337" s="2">
        <v>168.4</v>
      </c>
      <c r="T337" s="2">
        <v>174.6</v>
      </c>
      <c r="U337" s="2">
        <v>167.5</v>
      </c>
      <c r="V337" s="2">
        <v>174.6</v>
      </c>
      <c r="W337" s="2">
        <v>165.2</v>
      </c>
      <c r="X337" s="2">
        <v>174.8</v>
      </c>
      <c r="Y337" s="2">
        <v>163</v>
      </c>
      <c r="Z337" s="2">
        <v>165.1</v>
      </c>
      <c r="AA337" s="2">
        <v>167.9</v>
      </c>
      <c r="AB337" s="2">
        <v>168.4</v>
      </c>
      <c r="AC337" s="2">
        <v>167.5</v>
      </c>
      <c r="AD337" s="2">
        <v>171.7</v>
      </c>
    </row>
    <row r="338" spans="1:30" ht="15" thickBot="1" x14ac:dyDescent="0.4">
      <c r="A338" s="1" t="s">
        <v>30</v>
      </c>
      <c r="B338" s="2">
        <v>2022</v>
      </c>
      <c r="C338" s="1" t="s">
        <v>39</v>
      </c>
      <c r="D338" s="2">
        <v>153.80000000000001</v>
      </c>
      <c r="E338" s="2">
        <v>217.2</v>
      </c>
      <c r="F338" s="2">
        <v>169.6</v>
      </c>
      <c r="G338" s="2">
        <v>165.4</v>
      </c>
      <c r="H338" s="2">
        <v>208.1</v>
      </c>
      <c r="I338" s="2">
        <v>165.8</v>
      </c>
      <c r="J338" s="2">
        <v>167.3</v>
      </c>
      <c r="K338" s="2">
        <v>164.6</v>
      </c>
      <c r="L338" s="2">
        <v>119.1</v>
      </c>
      <c r="M338" s="2">
        <v>188.9</v>
      </c>
      <c r="N338" s="2">
        <v>174.2</v>
      </c>
      <c r="O338" s="2">
        <v>181.9</v>
      </c>
      <c r="P338" s="2">
        <v>172.4</v>
      </c>
      <c r="Q338" s="2">
        <v>192.9</v>
      </c>
      <c r="R338" s="2">
        <v>180.7</v>
      </c>
      <c r="S338" s="2">
        <v>178.7</v>
      </c>
      <c r="T338" s="2">
        <v>180.4</v>
      </c>
      <c r="U338" s="1" t="s">
        <v>32</v>
      </c>
      <c r="V338" s="2">
        <v>176.7</v>
      </c>
      <c r="W338" s="2">
        <v>170.3</v>
      </c>
      <c r="X338" s="2">
        <v>178.2</v>
      </c>
      <c r="Y338" s="2">
        <v>165.5</v>
      </c>
      <c r="Z338" s="2">
        <v>168</v>
      </c>
      <c r="AA338" s="2">
        <v>172.6</v>
      </c>
      <c r="AB338" s="2">
        <v>169.5</v>
      </c>
      <c r="AC338" s="2">
        <v>171</v>
      </c>
      <c r="AD338" s="2">
        <v>173.6</v>
      </c>
    </row>
    <row r="339" spans="1:30" ht="15" thickBot="1" x14ac:dyDescent="0.4">
      <c r="A339" s="1" t="s">
        <v>33</v>
      </c>
      <c r="B339" s="2">
        <v>2022</v>
      </c>
      <c r="C339" s="1" t="s">
        <v>39</v>
      </c>
      <c r="D339" s="2">
        <v>157.5</v>
      </c>
      <c r="E339" s="2">
        <v>223.4</v>
      </c>
      <c r="F339" s="2">
        <v>172.8</v>
      </c>
      <c r="G339" s="2">
        <v>166.4</v>
      </c>
      <c r="H339" s="2">
        <v>188.6</v>
      </c>
      <c r="I339" s="2">
        <v>174.1</v>
      </c>
      <c r="J339" s="2">
        <v>211.5</v>
      </c>
      <c r="K339" s="2">
        <v>163.6</v>
      </c>
      <c r="L339" s="2">
        <v>121.4</v>
      </c>
      <c r="M339" s="2">
        <v>183.5</v>
      </c>
      <c r="N339" s="2">
        <v>159.1</v>
      </c>
      <c r="O339" s="2">
        <v>186.3</v>
      </c>
      <c r="P339" s="2">
        <v>179.3</v>
      </c>
      <c r="Q339" s="2">
        <v>198.3</v>
      </c>
      <c r="R339" s="2">
        <v>171.6</v>
      </c>
      <c r="S339" s="2">
        <v>157.4</v>
      </c>
      <c r="T339" s="2">
        <v>169.4</v>
      </c>
      <c r="U339" s="2">
        <v>166.8</v>
      </c>
      <c r="V339" s="2">
        <v>174.9</v>
      </c>
      <c r="W339" s="2">
        <v>162.1</v>
      </c>
      <c r="X339" s="2">
        <v>170.9</v>
      </c>
      <c r="Y339" s="2">
        <v>157.19999999999999</v>
      </c>
      <c r="Z339" s="2">
        <v>164.1</v>
      </c>
      <c r="AA339" s="2">
        <v>166.5</v>
      </c>
      <c r="AB339" s="2">
        <v>169.2</v>
      </c>
      <c r="AC339" s="2">
        <v>163.80000000000001</v>
      </c>
      <c r="AD339" s="2">
        <v>171.4</v>
      </c>
    </row>
    <row r="340" spans="1:30" ht="26.5" thickBot="1" x14ac:dyDescent="0.4">
      <c r="A340" s="1" t="s">
        <v>34</v>
      </c>
      <c r="B340" s="2">
        <v>2022</v>
      </c>
      <c r="C340" s="1" t="s">
        <v>39</v>
      </c>
      <c r="D340" s="2">
        <v>155</v>
      </c>
      <c r="E340" s="2">
        <v>219.4</v>
      </c>
      <c r="F340" s="2">
        <v>170.8</v>
      </c>
      <c r="G340" s="2">
        <v>165.8</v>
      </c>
      <c r="H340" s="2">
        <v>200.9</v>
      </c>
      <c r="I340" s="2">
        <v>169.7</v>
      </c>
      <c r="J340" s="2">
        <v>182.3</v>
      </c>
      <c r="K340" s="2">
        <v>164.3</v>
      </c>
      <c r="L340" s="2">
        <v>119.9</v>
      </c>
      <c r="M340" s="2">
        <v>187.1</v>
      </c>
      <c r="N340" s="2">
        <v>167.9</v>
      </c>
      <c r="O340" s="2">
        <v>183.9</v>
      </c>
      <c r="P340" s="2">
        <v>174.9</v>
      </c>
      <c r="Q340" s="2">
        <v>194.3</v>
      </c>
      <c r="R340" s="2">
        <v>177.1</v>
      </c>
      <c r="S340" s="2">
        <v>169.9</v>
      </c>
      <c r="T340" s="2">
        <v>176</v>
      </c>
      <c r="U340" s="2">
        <v>166.8</v>
      </c>
      <c r="V340" s="2">
        <v>176</v>
      </c>
      <c r="W340" s="2">
        <v>166.4</v>
      </c>
      <c r="X340" s="2">
        <v>175.4</v>
      </c>
      <c r="Y340" s="2">
        <v>161.1</v>
      </c>
      <c r="Z340" s="2">
        <v>165.8</v>
      </c>
      <c r="AA340" s="2">
        <v>169</v>
      </c>
      <c r="AB340" s="2">
        <v>169.4</v>
      </c>
      <c r="AC340" s="2">
        <v>167.5</v>
      </c>
      <c r="AD340" s="2">
        <v>172.6</v>
      </c>
    </row>
    <row r="341" spans="1:30" ht="15" thickBot="1" x14ac:dyDescent="0.4">
      <c r="A341" s="1" t="s">
        <v>30</v>
      </c>
      <c r="B341" s="2">
        <v>2022</v>
      </c>
      <c r="C341" s="1" t="s">
        <v>40</v>
      </c>
      <c r="D341" s="2">
        <v>155.19999999999999</v>
      </c>
      <c r="E341" s="2">
        <v>210.8</v>
      </c>
      <c r="F341" s="2">
        <v>174.3</v>
      </c>
      <c r="G341" s="2">
        <v>166.3</v>
      </c>
      <c r="H341" s="2">
        <v>202.2</v>
      </c>
      <c r="I341" s="2">
        <v>169.6</v>
      </c>
      <c r="J341" s="2">
        <v>168.6</v>
      </c>
      <c r="K341" s="2">
        <v>164.4</v>
      </c>
      <c r="L341" s="2">
        <v>119.2</v>
      </c>
      <c r="M341" s="2">
        <v>191.8</v>
      </c>
      <c r="N341" s="2">
        <v>174.5</v>
      </c>
      <c r="O341" s="2">
        <v>183.1</v>
      </c>
      <c r="P341" s="2">
        <v>172.5</v>
      </c>
      <c r="Q341" s="2">
        <v>193.2</v>
      </c>
      <c r="R341" s="2">
        <v>182</v>
      </c>
      <c r="S341" s="2">
        <v>180.3</v>
      </c>
      <c r="T341" s="2">
        <v>181.7</v>
      </c>
      <c r="U341" s="1" t="s">
        <v>32</v>
      </c>
      <c r="V341" s="2">
        <v>179.6</v>
      </c>
      <c r="W341" s="2">
        <v>171.3</v>
      </c>
      <c r="X341" s="2">
        <v>178.8</v>
      </c>
      <c r="Y341" s="2">
        <v>166.3</v>
      </c>
      <c r="Z341" s="2">
        <v>168.6</v>
      </c>
      <c r="AA341" s="2">
        <v>174.7</v>
      </c>
      <c r="AB341" s="2">
        <v>169.7</v>
      </c>
      <c r="AC341" s="2">
        <v>171.8</v>
      </c>
      <c r="AD341" s="2">
        <v>174.3</v>
      </c>
    </row>
    <row r="342" spans="1:30" ht="15" thickBot="1" x14ac:dyDescent="0.4">
      <c r="A342" s="1" t="s">
        <v>33</v>
      </c>
      <c r="B342" s="2">
        <v>2022</v>
      </c>
      <c r="C342" s="1" t="s">
        <v>40</v>
      </c>
      <c r="D342" s="2">
        <v>159.30000000000001</v>
      </c>
      <c r="E342" s="2">
        <v>217.1</v>
      </c>
      <c r="F342" s="2">
        <v>176.6</v>
      </c>
      <c r="G342" s="2">
        <v>167.1</v>
      </c>
      <c r="H342" s="2">
        <v>184.8</v>
      </c>
      <c r="I342" s="2">
        <v>179.5</v>
      </c>
      <c r="J342" s="2">
        <v>208.5</v>
      </c>
      <c r="K342" s="2">
        <v>164</v>
      </c>
      <c r="L342" s="2">
        <v>121.5</v>
      </c>
      <c r="M342" s="2">
        <v>186.3</v>
      </c>
      <c r="N342" s="2">
        <v>159.80000000000001</v>
      </c>
      <c r="O342" s="2">
        <v>187.7</v>
      </c>
      <c r="P342" s="2">
        <v>179.4</v>
      </c>
      <c r="Q342" s="2">
        <v>198.6</v>
      </c>
      <c r="R342" s="2">
        <v>172.7</v>
      </c>
      <c r="S342" s="2">
        <v>158.69999999999999</v>
      </c>
      <c r="T342" s="2">
        <v>170.6</v>
      </c>
      <c r="U342" s="2">
        <v>167.8</v>
      </c>
      <c r="V342" s="2">
        <v>179.5</v>
      </c>
      <c r="W342" s="2">
        <v>163.1</v>
      </c>
      <c r="X342" s="2">
        <v>171.7</v>
      </c>
      <c r="Y342" s="2">
        <v>157.4</v>
      </c>
      <c r="Z342" s="2">
        <v>164.6</v>
      </c>
      <c r="AA342" s="2">
        <v>169.1</v>
      </c>
      <c r="AB342" s="2">
        <v>169.8</v>
      </c>
      <c r="AC342" s="2">
        <v>164.7</v>
      </c>
      <c r="AD342" s="2">
        <v>172.3</v>
      </c>
    </row>
    <row r="343" spans="1:30" ht="26.5" thickBot="1" x14ac:dyDescent="0.4">
      <c r="A343" s="1" t="s">
        <v>34</v>
      </c>
      <c r="B343" s="2">
        <v>2022</v>
      </c>
      <c r="C343" s="1" t="s">
        <v>40</v>
      </c>
      <c r="D343" s="2">
        <v>156.5</v>
      </c>
      <c r="E343" s="2">
        <v>213</v>
      </c>
      <c r="F343" s="2">
        <v>175.2</v>
      </c>
      <c r="G343" s="2">
        <v>166.6</v>
      </c>
      <c r="H343" s="2">
        <v>195.8</v>
      </c>
      <c r="I343" s="2">
        <v>174.2</v>
      </c>
      <c r="J343" s="2">
        <v>182.1</v>
      </c>
      <c r="K343" s="2">
        <v>164.3</v>
      </c>
      <c r="L343" s="2">
        <v>120</v>
      </c>
      <c r="M343" s="2">
        <v>190</v>
      </c>
      <c r="N343" s="2">
        <v>168.4</v>
      </c>
      <c r="O343" s="2">
        <v>185.2</v>
      </c>
      <c r="P343" s="2">
        <v>175</v>
      </c>
      <c r="Q343" s="2">
        <v>194.6</v>
      </c>
      <c r="R343" s="2">
        <v>178.3</v>
      </c>
      <c r="S343" s="2">
        <v>171.3</v>
      </c>
      <c r="T343" s="2">
        <v>177.3</v>
      </c>
      <c r="U343" s="2">
        <v>167.8</v>
      </c>
      <c r="V343" s="2">
        <v>179.6</v>
      </c>
      <c r="W343" s="2">
        <v>167.4</v>
      </c>
      <c r="X343" s="2">
        <v>176.1</v>
      </c>
      <c r="Y343" s="2">
        <v>161.6</v>
      </c>
      <c r="Z343" s="2">
        <v>166.3</v>
      </c>
      <c r="AA343" s="2">
        <v>171.4</v>
      </c>
      <c r="AB343" s="2">
        <v>169.7</v>
      </c>
      <c r="AC343" s="2">
        <v>168.4</v>
      </c>
      <c r="AD343" s="2">
        <v>173.4</v>
      </c>
    </row>
    <row r="344" spans="1:30" ht="15" thickBot="1" x14ac:dyDescent="0.4">
      <c r="A344" s="1" t="s">
        <v>30</v>
      </c>
      <c r="B344" s="2">
        <v>2022</v>
      </c>
      <c r="C344" s="1" t="s">
        <v>41</v>
      </c>
      <c r="D344" s="2">
        <v>159.5</v>
      </c>
      <c r="E344" s="2">
        <v>204.1</v>
      </c>
      <c r="F344" s="2">
        <v>168.3</v>
      </c>
      <c r="G344" s="2">
        <v>167.9</v>
      </c>
      <c r="H344" s="2">
        <v>198.1</v>
      </c>
      <c r="I344" s="2">
        <v>169.2</v>
      </c>
      <c r="J344" s="2">
        <v>173.1</v>
      </c>
      <c r="K344" s="2">
        <v>167.1</v>
      </c>
      <c r="L344" s="2">
        <v>120.2</v>
      </c>
      <c r="M344" s="2">
        <v>195.6</v>
      </c>
      <c r="N344" s="2">
        <v>174.8</v>
      </c>
      <c r="O344" s="2">
        <v>184</v>
      </c>
      <c r="P344" s="2">
        <v>173.9</v>
      </c>
      <c r="Q344" s="2">
        <v>193.7</v>
      </c>
      <c r="R344" s="2">
        <v>183.2</v>
      </c>
      <c r="S344" s="2">
        <v>181.7</v>
      </c>
      <c r="T344" s="2">
        <v>183</v>
      </c>
      <c r="U344" s="1" t="s">
        <v>32</v>
      </c>
      <c r="V344" s="2">
        <v>179.1</v>
      </c>
      <c r="W344" s="2">
        <v>172.3</v>
      </c>
      <c r="X344" s="2">
        <v>179.4</v>
      </c>
      <c r="Y344" s="2">
        <v>166.6</v>
      </c>
      <c r="Z344" s="2">
        <v>169.3</v>
      </c>
      <c r="AA344" s="2">
        <v>175.7</v>
      </c>
      <c r="AB344" s="2">
        <v>171.1</v>
      </c>
      <c r="AC344" s="2">
        <v>172.6</v>
      </c>
      <c r="AD344" s="2">
        <v>175.3</v>
      </c>
    </row>
    <row r="345" spans="1:30" ht="15" thickBot="1" x14ac:dyDescent="0.4">
      <c r="A345" s="1" t="s">
        <v>33</v>
      </c>
      <c r="B345" s="2">
        <v>2022</v>
      </c>
      <c r="C345" s="1" t="s">
        <v>41</v>
      </c>
      <c r="D345" s="2">
        <v>162.1</v>
      </c>
      <c r="E345" s="2">
        <v>210.9</v>
      </c>
      <c r="F345" s="2">
        <v>170.6</v>
      </c>
      <c r="G345" s="2">
        <v>168.4</v>
      </c>
      <c r="H345" s="2">
        <v>182.5</v>
      </c>
      <c r="I345" s="2">
        <v>177.1</v>
      </c>
      <c r="J345" s="2">
        <v>213.1</v>
      </c>
      <c r="K345" s="2">
        <v>167.3</v>
      </c>
      <c r="L345" s="2">
        <v>122.2</v>
      </c>
      <c r="M345" s="2">
        <v>189.7</v>
      </c>
      <c r="N345" s="2">
        <v>160.5</v>
      </c>
      <c r="O345" s="2">
        <v>188.9</v>
      </c>
      <c r="P345" s="2">
        <v>180.4</v>
      </c>
      <c r="Q345" s="2">
        <v>198.7</v>
      </c>
      <c r="R345" s="2">
        <v>173.7</v>
      </c>
      <c r="S345" s="2">
        <v>160</v>
      </c>
      <c r="T345" s="2">
        <v>171.6</v>
      </c>
      <c r="U345" s="2">
        <v>169</v>
      </c>
      <c r="V345" s="2">
        <v>178.4</v>
      </c>
      <c r="W345" s="2">
        <v>164.2</v>
      </c>
      <c r="X345" s="2">
        <v>172.6</v>
      </c>
      <c r="Y345" s="2">
        <v>157.69999999999999</v>
      </c>
      <c r="Z345" s="2">
        <v>165.1</v>
      </c>
      <c r="AA345" s="2">
        <v>169.9</v>
      </c>
      <c r="AB345" s="2">
        <v>171.4</v>
      </c>
      <c r="AC345" s="2">
        <v>165.4</v>
      </c>
      <c r="AD345" s="2">
        <v>173.1</v>
      </c>
    </row>
    <row r="346" spans="1:30" ht="26.5" thickBot="1" x14ac:dyDescent="0.4">
      <c r="A346" s="1" t="s">
        <v>34</v>
      </c>
      <c r="B346" s="2">
        <v>2022</v>
      </c>
      <c r="C346" s="1" t="s">
        <v>41</v>
      </c>
      <c r="D346" s="2">
        <v>160.30000000000001</v>
      </c>
      <c r="E346" s="2">
        <v>206.5</v>
      </c>
      <c r="F346" s="2">
        <v>169.2</v>
      </c>
      <c r="G346" s="2">
        <v>168.1</v>
      </c>
      <c r="H346" s="2">
        <v>192.4</v>
      </c>
      <c r="I346" s="2">
        <v>172.9</v>
      </c>
      <c r="J346" s="2">
        <v>186.7</v>
      </c>
      <c r="K346" s="2">
        <v>167.2</v>
      </c>
      <c r="L346" s="2">
        <v>120.9</v>
      </c>
      <c r="M346" s="2">
        <v>193.6</v>
      </c>
      <c r="N346" s="2">
        <v>168.8</v>
      </c>
      <c r="O346" s="2">
        <v>186.3</v>
      </c>
      <c r="P346" s="2">
        <v>176.3</v>
      </c>
      <c r="Q346" s="2">
        <v>195</v>
      </c>
      <c r="R346" s="2">
        <v>179.5</v>
      </c>
      <c r="S346" s="2">
        <v>172.7</v>
      </c>
      <c r="T346" s="2">
        <v>178.5</v>
      </c>
      <c r="U346" s="2">
        <v>169</v>
      </c>
      <c r="V346" s="2">
        <v>178.8</v>
      </c>
      <c r="W346" s="2">
        <v>168.5</v>
      </c>
      <c r="X346" s="2">
        <v>176.8</v>
      </c>
      <c r="Y346" s="2">
        <v>161.9</v>
      </c>
      <c r="Z346" s="2">
        <v>166.9</v>
      </c>
      <c r="AA346" s="2">
        <v>172.3</v>
      </c>
      <c r="AB346" s="2">
        <v>171.2</v>
      </c>
      <c r="AC346" s="2">
        <v>169.1</v>
      </c>
      <c r="AD346" s="2">
        <v>174.3</v>
      </c>
    </row>
    <row r="347" spans="1:30" ht="26.5" thickBot="1" x14ac:dyDescent="0.4">
      <c r="A347" s="1" t="s">
        <v>30</v>
      </c>
      <c r="B347" s="2">
        <v>2022</v>
      </c>
      <c r="C347" s="1" t="s">
        <v>42</v>
      </c>
      <c r="D347" s="2">
        <v>162.9</v>
      </c>
      <c r="E347" s="2">
        <v>206.7</v>
      </c>
      <c r="F347" s="2">
        <v>169</v>
      </c>
      <c r="G347" s="2">
        <v>169.5</v>
      </c>
      <c r="H347" s="2">
        <v>194.1</v>
      </c>
      <c r="I347" s="2">
        <v>164.1</v>
      </c>
      <c r="J347" s="2">
        <v>176.9</v>
      </c>
      <c r="K347" s="2">
        <v>169</v>
      </c>
      <c r="L347" s="2">
        <v>120.8</v>
      </c>
      <c r="M347" s="2">
        <v>199.1</v>
      </c>
      <c r="N347" s="2">
        <v>175.4</v>
      </c>
      <c r="O347" s="2">
        <v>184.8</v>
      </c>
      <c r="P347" s="2">
        <v>175.5</v>
      </c>
      <c r="Q347" s="2">
        <v>194.5</v>
      </c>
      <c r="R347" s="2">
        <v>184.7</v>
      </c>
      <c r="S347" s="2">
        <v>183.3</v>
      </c>
      <c r="T347" s="2">
        <v>184.5</v>
      </c>
      <c r="U347" s="1" t="s">
        <v>32</v>
      </c>
      <c r="V347" s="2">
        <v>179.7</v>
      </c>
      <c r="W347" s="2">
        <v>173.6</v>
      </c>
      <c r="X347" s="2">
        <v>180.2</v>
      </c>
      <c r="Y347" s="2">
        <v>166.9</v>
      </c>
      <c r="Z347" s="2">
        <v>170</v>
      </c>
      <c r="AA347" s="2">
        <v>176.2</v>
      </c>
      <c r="AB347" s="2">
        <v>170.8</v>
      </c>
      <c r="AC347" s="2">
        <v>173.1</v>
      </c>
      <c r="AD347" s="2">
        <v>176.4</v>
      </c>
    </row>
    <row r="348" spans="1:30" ht="26.5" thickBot="1" x14ac:dyDescent="0.4">
      <c r="A348" s="1" t="s">
        <v>33</v>
      </c>
      <c r="B348" s="2">
        <v>2022</v>
      </c>
      <c r="C348" s="1" t="s">
        <v>42</v>
      </c>
      <c r="D348" s="2">
        <v>164.9</v>
      </c>
      <c r="E348" s="2">
        <v>213.7</v>
      </c>
      <c r="F348" s="2">
        <v>170.9</v>
      </c>
      <c r="G348" s="2">
        <v>170.1</v>
      </c>
      <c r="H348" s="2">
        <v>179.3</v>
      </c>
      <c r="I348" s="2">
        <v>167.5</v>
      </c>
      <c r="J348" s="2">
        <v>220.8</v>
      </c>
      <c r="K348" s="2">
        <v>169.2</v>
      </c>
      <c r="L348" s="2">
        <v>123.1</v>
      </c>
      <c r="M348" s="2">
        <v>193.6</v>
      </c>
      <c r="N348" s="2">
        <v>161.1</v>
      </c>
      <c r="O348" s="2">
        <v>190.4</v>
      </c>
      <c r="P348" s="2">
        <v>181.8</v>
      </c>
      <c r="Q348" s="2">
        <v>199.7</v>
      </c>
      <c r="R348" s="2">
        <v>175</v>
      </c>
      <c r="S348" s="2">
        <v>161.69999999999999</v>
      </c>
      <c r="T348" s="2">
        <v>173</v>
      </c>
      <c r="U348" s="2">
        <v>169.5</v>
      </c>
      <c r="V348" s="2">
        <v>179.2</v>
      </c>
      <c r="W348" s="2">
        <v>165</v>
      </c>
      <c r="X348" s="2">
        <v>173.8</v>
      </c>
      <c r="Y348" s="2">
        <v>158.19999999999999</v>
      </c>
      <c r="Z348" s="2">
        <v>165.8</v>
      </c>
      <c r="AA348" s="2">
        <v>170.9</v>
      </c>
      <c r="AB348" s="2">
        <v>171.1</v>
      </c>
      <c r="AC348" s="2">
        <v>166.1</v>
      </c>
      <c r="AD348" s="2">
        <v>174.1</v>
      </c>
    </row>
    <row r="349" spans="1:30" ht="26.5" thickBot="1" x14ac:dyDescent="0.4">
      <c r="A349" s="1" t="s">
        <v>34</v>
      </c>
      <c r="B349" s="2">
        <v>2022</v>
      </c>
      <c r="C349" s="1" t="s">
        <v>42</v>
      </c>
      <c r="D349" s="2">
        <v>163.5</v>
      </c>
      <c r="E349" s="2">
        <v>209.2</v>
      </c>
      <c r="F349" s="2">
        <v>169.7</v>
      </c>
      <c r="G349" s="2">
        <v>169.7</v>
      </c>
      <c r="H349" s="2">
        <v>188.7</v>
      </c>
      <c r="I349" s="2">
        <v>165.7</v>
      </c>
      <c r="J349" s="2">
        <v>191.8</v>
      </c>
      <c r="K349" s="2">
        <v>169.1</v>
      </c>
      <c r="L349" s="2">
        <v>121.6</v>
      </c>
      <c r="M349" s="2">
        <v>197.3</v>
      </c>
      <c r="N349" s="2">
        <v>169.4</v>
      </c>
      <c r="O349" s="2">
        <v>187.4</v>
      </c>
      <c r="P349" s="2">
        <v>177.8</v>
      </c>
      <c r="Q349" s="2">
        <v>195.9</v>
      </c>
      <c r="R349" s="2">
        <v>180.9</v>
      </c>
      <c r="S349" s="2">
        <v>174.3</v>
      </c>
      <c r="T349" s="2">
        <v>179.9</v>
      </c>
      <c r="U349" s="2">
        <v>169.5</v>
      </c>
      <c r="V349" s="2">
        <v>179.5</v>
      </c>
      <c r="W349" s="2">
        <v>169.5</v>
      </c>
      <c r="X349" s="2">
        <v>177.8</v>
      </c>
      <c r="Y349" s="2">
        <v>162.30000000000001</v>
      </c>
      <c r="Z349" s="2">
        <v>167.6</v>
      </c>
      <c r="AA349" s="2">
        <v>173.1</v>
      </c>
      <c r="AB349" s="2">
        <v>170.9</v>
      </c>
      <c r="AC349" s="2">
        <v>169.7</v>
      </c>
      <c r="AD349" s="2">
        <v>175.3</v>
      </c>
    </row>
    <row r="350" spans="1:30" ht="15" thickBot="1" x14ac:dyDescent="0.4">
      <c r="A350" s="1" t="s">
        <v>30</v>
      </c>
      <c r="B350" s="2">
        <v>2022</v>
      </c>
      <c r="C350" s="1" t="s">
        <v>43</v>
      </c>
      <c r="D350" s="2">
        <v>164.7</v>
      </c>
      <c r="E350" s="2">
        <v>208.8</v>
      </c>
      <c r="F350" s="2">
        <v>170.3</v>
      </c>
      <c r="G350" s="2">
        <v>170.9</v>
      </c>
      <c r="H350" s="2">
        <v>191.6</v>
      </c>
      <c r="I350" s="2">
        <v>162.19999999999999</v>
      </c>
      <c r="J350" s="2">
        <v>184.8</v>
      </c>
      <c r="K350" s="2">
        <v>169.7</v>
      </c>
      <c r="L350" s="2">
        <v>121.1</v>
      </c>
      <c r="M350" s="2">
        <v>201.6</v>
      </c>
      <c r="N350" s="2">
        <v>175.8</v>
      </c>
      <c r="O350" s="2">
        <v>185.6</v>
      </c>
      <c r="P350" s="2">
        <v>177.4</v>
      </c>
      <c r="Q350" s="2">
        <v>194.9</v>
      </c>
      <c r="R350" s="2">
        <v>186.1</v>
      </c>
      <c r="S350" s="2">
        <v>184.4</v>
      </c>
      <c r="T350" s="2">
        <v>185.9</v>
      </c>
      <c r="U350" s="1" t="s">
        <v>32</v>
      </c>
      <c r="V350" s="2">
        <v>180.8</v>
      </c>
      <c r="W350" s="2">
        <v>174.4</v>
      </c>
      <c r="X350" s="2">
        <v>181.2</v>
      </c>
      <c r="Y350" s="2">
        <v>167.4</v>
      </c>
      <c r="Z350" s="2">
        <v>170.6</v>
      </c>
      <c r="AA350" s="2">
        <v>176.5</v>
      </c>
      <c r="AB350" s="2">
        <v>172</v>
      </c>
      <c r="AC350" s="2">
        <v>173.9</v>
      </c>
      <c r="AD350" s="2">
        <v>177.9</v>
      </c>
    </row>
    <row r="351" spans="1:30" ht="15" thickBot="1" x14ac:dyDescent="0.4">
      <c r="A351" s="1" t="s">
        <v>33</v>
      </c>
      <c r="B351" s="2">
        <v>2022</v>
      </c>
      <c r="C351" s="1" t="s">
        <v>43</v>
      </c>
      <c r="D351" s="2">
        <v>166.4</v>
      </c>
      <c r="E351" s="2">
        <v>214.9</v>
      </c>
      <c r="F351" s="2">
        <v>171.9</v>
      </c>
      <c r="G351" s="2">
        <v>171</v>
      </c>
      <c r="H351" s="2">
        <v>177.7</v>
      </c>
      <c r="I351" s="2">
        <v>165.7</v>
      </c>
      <c r="J351" s="2">
        <v>228.6</v>
      </c>
      <c r="K351" s="2">
        <v>169.9</v>
      </c>
      <c r="L351" s="2">
        <v>123.4</v>
      </c>
      <c r="M351" s="2">
        <v>196.4</v>
      </c>
      <c r="N351" s="2">
        <v>161.6</v>
      </c>
      <c r="O351" s="2">
        <v>191.5</v>
      </c>
      <c r="P351" s="2">
        <v>183.3</v>
      </c>
      <c r="Q351" s="2">
        <v>200.1</v>
      </c>
      <c r="R351" s="2">
        <v>175.5</v>
      </c>
      <c r="S351" s="2">
        <v>162.6</v>
      </c>
      <c r="T351" s="2">
        <v>173.6</v>
      </c>
      <c r="U351" s="2">
        <v>171.2</v>
      </c>
      <c r="V351" s="2">
        <v>180</v>
      </c>
      <c r="W351" s="2">
        <v>166</v>
      </c>
      <c r="X351" s="2">
        <v>174.7</v>
      </c>
      <c r="Y351" s="2">
        <v>158.80000000000001</v>
      </c>
      <c r="Z351" s="2">
        <v>166.3</v>
      </c>
      <c r="AA351" s="2">
        <v>171.2</v>
      </c>
      <c r="AB351" s="2">
        <v>172.3</v>
      </c>
      <c r="AC351" s="2">
        <v>166.8</v>
      </c>
      <c r="AD351" s="2">
        <v>175.3</v>
      </c>
    </row>
    <row r="352" spans="1:30" ht="26.5" thickBot="1" x14ac:dyDescent="0.4">
      <c r="A352" s="1" t="s">
        <v>34</v>
      </c>
      <c r="B352" s="2">
        <v>2022</v>
      </c>
      <c r="C352" s="1" t="s">
        <v>43</v>
      </c>
      <c r="D352" s="2">
        <v>165.2</v>
      </c>
      <c r="E352" s="2">
        <v>210.9</v>
      </c>
      <c r="F352" s="2">
        <v>170.9</v>
      </c>
      <c r="G352" s="2">
        <v>170.9</v>
      </c>
      <c r="H352" s="2">
        <v>186.5</v>
      </c>
      <c r="I352" s="2">
        <v>163.80000000000001</v>
      </c>
      <c r="J352" s="2">
        <v>199.7</v>
      </c>
      <c r="K352" s="2">
        <v>169.8</v>
      </c>
      <c r="L352" s="2">
        <v>121.9</v>
      </c>
      <c r="M352" s="2">
        <v>199.9</v>
      </c>
      <c r="N352" s="2">
        <v>169.9</v>
      </c>
      <c r="O352" s="2">
        <v>188.3</v>
      </c>
      <c r="P352" s="2">
        <v>179.6</v>
      </c>
      <c r="Q352" s="2">
        <v>196.3</v>
      </c>
      <c r="R352" s="2">
        <v>181.9</v>
      </c>
      <c r="S352" s="2">
        <v>175.3</v>
      </c>
      <c r="T352" s="2">
        <v>181</v>
      </c>
      <c r="U352" s="2">
        <v>171.2</v>
      </c>
      <c r="V352" s="2">
        <v>180.5</v>
      </c>
      <c r="W352" s="2">
        <v>170.4</v>
      </c>
      <c r="X352" s="2">
        <v>178.7</v>
      </c>
      <c r="Y352" s="2">
        <v>162.9</v>
      </c>
      <c r="Z352" s="2">
        <v>168.2</v>
      </c>
      <c r="AA352" s="2">
        <v>173.4</v>
      </c>
      <c r="AB352" s="2">
        <v>172.1</v>
      </c>
      <c r="AC352" s="2">
        <v>170.5</v>
      </c>
      <c r="AD352" s="2">
        <v>176.7</v>
      </c>
    </row>
    <row r="353" spans="1:30" ht="26.5" thickBot="1" x14ac:dyDescent="0.4">
      <c r="A353" s="1" t="s">
        <v>30</v>
      </c>
      <c r="B353" s="2">
        <v>2022</v>
      </c>
      <c r="C353" s="1" t="s">
        <v>44</v>
      </c>
      <c r="D353" s="2">
        <v>166.9</v>
      </c>
      <c r="E353" s="2">
        <v>207.2</v>
      </c>
      <c r="F353" s="2">
        <v>180.2</v>
      </c>
      <c r="G353" s="2">
        <v>172.3</v>
      </c>
      <c r="H353" s="2">
        <v>194</v>
      </c>
      <c r="I353" s="2">
        <v>159.1</v>
      </c>
      <c r="J353" s="2">
        <v>171.6</v>
      </c>
      <c r="K353" s="2">
        <v>170.2</v>
      </c>
      <c r="L353" s="2">
        <v>121.5</v>
      </c>
      <c r="M353" s="2">
        <v>204.8</v>
      </c>
      <c r="N353" s="2">
        <v>176.4</v>
      </c>
      <c r="O353" s="2">
        <v>186.9</v>
      </c>
      <c r="P353" s="2">
        <v>176.6</v>
      </c>
      <c r="Q353" s="2">
        <v>195.5</v>
      </c>
      <c r="R353" s="2">
        <v>187.2</v>
      </c>
      <c r="S353" s="2">
        <v>185.2</v>
      </c>
      <c r="T353" s="2">
        <v>186.9</v>
      </c>
      <c r="U353" s="1" t="s">
        <v>32</v>
      </c>
      <c r="V353" s="2">
        <v>181.9</v>
      </c>
      <c r="W353" s="2">
        <v>175.5</v>
      </c>
      <c r="X353" s="2">
        <v>182.3</v>
      </c>
      <c r="Y353" s="2">
        <v>167.5</v>
      </c>
      <c r="Z353" s="2">
        <v>170.8</v>
      </c>
      <c r="AA353" s="2">
        <v>176.9</v>
      </c>
      <c r="AB353" s="2">
        <v>173.4</v>
      </c>
      <c r="AC353" s="2">
        <v>174.6</v>
      </c>
      <c r="AD353" s="2">
        <v>177.8</v>
      </c>
    </row>
    <row r="354" spans="1:30" ht="26.5" thickBot="1" x14ac:dyDescent="0.4">
      <c r="A354" s="1" t="s">
        <v>33</v>
      </c>
      <c r="B354" s="2">
        <v>2022</v>
      </c>
      <c r="C354" s="1" t="s">
        <v>44</v>
      </c>
      <c r="D354" s="2">
        <v>168.4</v>
      </c>
      <c r="E354" s="2">
        <v>213.4</v>
      </c>
      <c r="F354" s="2">
        <v>183.2</v>
      </c>
      <c r="G354" s="2">
        <v>172.3</v>
      </c>
      <c r="H354" s="2">
        <v>180</v>
      </c>
      <c r="I354" s="2">
        <v>162.6</v>
      </c>
      <c r="J354" s="2">
        <v>205.5</v>
      </c>
      <c r="K354" s="2">
        <v>171</v>
      </c>
      <c r="L354" s="2">
        <v>123.4</v>
      </c>
      <c r="M354" s="2">
        <v>198.8</v>
      </c>
      <c r="N354" s="2">
        <v>162.1</v>
      </c>
      <c r="O354" s="2">
        <v>192.4</v>
      </c>
      <c r="P354" s="2">
        <v>181.3</v>
      </c>
      <c r="Q354" s="2">
        <v>200.6</v>
      </c>
      <c r="R354" s="2">
        <v>176.7</v>
      </c>
      <c r="S354" s="2">
        <v>163.5</v>
      </c>
      <c r="T354" s="2">
        <v>174.7</v>
      </c>
      <c r="U354" s="2">
        <v>171.8</v>
      </c>
      <c r="V354" s="2">
        <v>180.3</v>
      </c>
      <c r="W354" s="2">
        <v>166.9</v>
      </c>
      <c r="X354" s="2">
        <v>175.8</v>
      </c>
      <c r="Y354" s="2">
        <v>158.9</v>
      </c>
      <c r="Z354" s="2">
        <v>166.7</v>
      </c>
      <c r="AA354" s="2">
        <v>171.5</v>
      </c>
      <c r="AB354" s="2">
        <v>173.8</v>
      </c>
      <c r="AC354" s="2">
        <v>167.4</v>
      </c>
      <c r="AD354" s="2">
        <v>174.1</v>
      </c>
    </row>
    <row r="355" spans="1:30" ht="26.5" thickBot="1" x14ac:dyDescent="0.4">
      <c r="A355" s="1" t="s">
        <v>34</v>
      </c>
      <c r="B355" s="2">
        <v>2022</v>
      </c>
      <c r="C355" s="1" t="s">
        <v>44</v>
      </c>
      <c r="D355" s="2">
        <v>167.4</v>
      </c>
      <c r="E355" s="2">
        <v>209.4</v>
      </c>
      <c r="F355" s="2">
        <v>181.4</v>
      </c>
      <c r="G355" s="2">
        <v>172.3</v>
      </c>
      <c r="H355" s="2">
        <v>188.9</v>
      </c>
      <c r="I355" s="2">
        <v>160.69999999999999</v>
      </c>
      <c r="J355" s="2">
        <v>183.1</v>
      </c>
      <c r="K355" s="2">
        <v>170.5</v>
      </c>
      <c r="L355" s="2">
        <v>122.1</v>
      </c>
      <c r="M355" s="2">
        <v>202.8</v>
      </c>
      <c r="N355" s="2">
        <v>170.4</v>
      </c>
      <c r="O355" s="2">
        <v>189.5</v>
      </c>
      <c r="P355" s="2">
        <v>178.3</v>
      </c>
      <c r="Q355" s="2">
        <v>196.9</v>
      </c>
      <c r="R355" s="2">
        <v>183.1</v>
      </c>
      <c r="S355" s="2">
        <v>176.2</v>
      </c>
      <c r="T355" s="2">
        <v>182.1</v>
      </c>
      <c r="U355" s="2">
        <v>171.8</v>
      </c>
      <c r="V355" s="2">
        <v>181.3</v>
      </c>
      <c r="W355" s="2">
        <v>171.4</v>
      </c>
      <c r="X355" s="2">
        <v>179.8</v>
      </c>
      <c r="Y355" s="2">
        <v>163</v>
      </c>
      <c r="Z355" s="2">
        <v>168.5</v>
      </c>
      <c r="AA355" s="2">
        <v>173.7</v>
      </c>
      <c r="AB355" s="2">
        <v>173.6</v>
      </c>
      <c r="AC355" s="2">
        <v>171.1</v>
      </c>
      <c r="AD355" s="2">
        <v>176.5</v>
      </c>
    </row>
    <row r="356" spans="1:30" ht="26.5" thickBot="1" x14ac:dyDescent="0.4">
      <c r="A356" s="1" t="s">
        <v>30</v>
      </c>
      <c r="B356" s="2">
        <v>2022</v>
      </c>
      <c r="C356" s="1" t="s">
        <v>45</v>
      </c>
      <c r="D356" s="2">
        <v>168.8</v>
      </c>
      <c r="E356" s="2">
        <v>206.9</v>
      </c>
      <c r="F356" s="2">
        <v>189.1</v>
      </c>
      <c r="G356" s="2">
        <v>173.4</v>
      </c>
      <c r="H356" s="2">
        <v>193.9</v>
      </c>
      <c r="I356" s="2">
        <v>156.69999999999999</v>
      </c>
      <c r="J356" s="2">
        <v>150.19999999999999</v>
      </c>
      <c r="K356" s="2">
        <v>170.5</v>
      </c>
      <c r="L356" s="2">
        <v>121.2</v>
      </c>
      <c r="M356" s="2">
        <v>207.5</v>
      </c>
      <c r="N356" s="2">
        <v>176.8</v>
      </c>
      <c r="O356" s="2">
        <v>187.7</v>
      </c>
      <c r="P356" s="2">
        <v>174.4</v>
      </c>
      <c r="Q356" s="2">
        <v>195.9</v>
      </c>
      <c r="R356" s="2">
        <v>188.1</v>
      </c>
      <c r="S356" s="2">
        <v>185.9</v>
      </c>
      <c r="T356" s="2">
        <v>187.8</v>
      </c>
      <c r="U356" s="1" t="s">
        <v>32</v>
      </c>
      <c r="V356" s="2">
        <v>182.8</v>
      </c>
      <c r="W356" s="2">
        <v>176.4</v>
      </c>
      <c r="X356" s="2">
        <v>183.5</v>
      </c>
      <c r="Y356" s="2">
        <v>167.8</v>
      </c>
      <c r="Z356" s="2">
        <v>171.2</v>
      </c>
      <c r="AA356" s="2">
        <v>177.3</v>
      </c>
      <c r="AB356" s="2">
        <v>175.7</v>
      </c>
      <c r="AC356" s="2">
        <v>175.5</v>
      </c>
      <c r="AD356" s="2">
        <v>177.1</v>
      </c>
    </row>
    <row r="357" spans="1:30" ht="26.5" thickBot="1" x14ac:dyDescent="0.4">
      <c r="A357" s="1" t="s">
        <v>33</v>
      </c>
      <c r="B357" s="2">
        <v>2022</v>
      </c>
      <c r="C357" s="1" t="s">
        <v>45</v>
      </c>
      <c r="D357" s="2">
        <v>170.2</v>
      </c>
      <c r="E357" s="2">
        <v>212.9</v>
      </c>
      <c r="F357" s="2">
        <v>191.9</v>
      </c>
      <c r="G357" s="2">
        <v>173.9</v>
      </c>
      <c r="H357" s="2">
        <v>179.1</v>
      </c>
      <c r="I357" s="2">
        <v>159.5</v>
      </c>
      <c r="J357" s="2">
        <v>178.7</v>
      </c>
      <c r="K357" s="2">
        <v>171.3</v>
      </c>
      <c r="L357" s="2">
        <v>123.1</v>
      </c>
      <c r="M357" s="2">
        <v>200.5</v>
      </c>
      <c r="N357" s="2">
        <v>162.80000000000001</v>
      </c>
      <c r="O357" s="2">
        <v>193.3</v>
      </c>
      <c r="P357" s="2">
        <v>178.6</v>
      </c>
      <c r="Q357" s="2">
        <v>201.1</v>
      </c>
      <c r="R357" s="2">
        <v>177.7</v>
      </c>
      <c r="S357" s="2">
        <v>164.5</v>
      </c>
      <c r="T357" s="2">
        <v>175.7</v>
      </c>
      <c r="U357" s="2">
        <v>170.7</v>
      </c>
      <c r="V357" s="2">
        <v>180.6</v>
      </c>
      <c r="W357" s="2">
        <v>167.3</v>
      </c>
      <c r="X357" s="2">
        <v>177.2</v>
      </c>
      <c r="Y357" s="2">
        <v>159.4</v>
      </c>
      <c r="Z357" s="2">
        <v>167.1</v>
      </c>
      <c r="AA357" s="2">
        <v>171.8</v>
      </c>
      <c r="AB357" s="2">
        <v>176</v>
      </c>
      <c r="AC357" s="2">
        <v>168.2</v>
      </c>
      <c r="AD357" s="2">
        <v>174.1</v>
      </c>
    </row>
    <row r="358" spans="1:30" ht="26.5" thickBot="1" x14ac:dyDescent="0.4">
      <c r="A358" s="1" t="s">
        <v>34</v>
      </c>
      <c r="B358" s="2">
        <v>2022</v>
      </c>
      <c r="C358" s="1" t="s">
        <v>45</v>
      </c>
      <c r="D358" s="2">
        <v>169.2</v>
      </c>
      <c r="E358" s="2">
        <v>209</v>
      </c>
      <c r="F358" s="2">
        <v>190.2</v>
      </c>
      <c r="G358" s="2">
        <v>173.6</v>
      </c>
      <c r="H358" s="2">
        <v>188.5</v>
      </c>
      <c r="I358" s="2">
        <v>158</v>
      </c>
      <c r="J358" s="2">
        <v>159.9</v>
      </c>
      <c r="K358" s="2">
        <v>170.8</v>
      </c>
      <c r="L358" s="2">
        <v>121.8</v>
      </c>
      <c r="M358" s="2">
        <v>205.2</v>
      </c>
      <c r="N358" s="2">
        <v>171</v>
      </c>
      <c r="O358" s="2">
        <v>190.3</v>
      </c>
      <c r="P358" s="2">
        <v>175.9</v>
      </c>
      <c r="Q358" s="2">
        <v>197.3</v>
      </c>
      <c r="R358" s="2">
        <v>184</v>
      </c>
      <c r="S358" s="2">
        <v>177</v>
      </c>
      <c r="T358" s="2">
        <v>183</v>
      </c>
      <c r="U358" s="2">
        <v>170.7</v>
      </c>
      <c r="V358" s="2">
        <v>182</v>
      </c>
      <c r="W358" s="2">
        <v>172.1</v>
      </c>
      <c r="X358" s="2">
        <v>181.1</v>
      </c>
      <c r="Y358" s="2">
        <v>163.4</v>
      </c>
      <c r="Z358" s="2">
        <v>168.9</v>
      </c>
      <c r="AA358" s="2">
        <v>174.1</v>
      </c>
      <c r="AB358" s="2">
        <v>175.8</v>
      </c>
      <c r="AC358" s="2">
        <v>172</v>
      </c>
      <c r="AD358" s="2">
        <v>175.7</v>
      </c>
    </row>
    <row r="359" spans="1:30" ht="15" thickBot="1" x14ac:dyDescent="0.4">
      <c r="A359" s="1" t="s">
        <v>30</v>
      </c>
      <c r="B359" s="2">
        <v>2023</v>
      </c>
      <c r="C359" s="1" t="s">
        <v>31</v>
      </c>
      <c r="D359" s="2">
        <v>174</v>
      </c>
      <c r="E359" s="2">
        <v>208.3</v>
      </c>
      <c r="F359" s="2">
        <v>192.9</v>
      </c>
      <c r="G359" s="2">
        <v>174.3</v>
      </c>
      <c r="H359" s="2">
        <v>192.6</v>
      </c>
      <c r="I359" s="2">
        <v>156.30000000000001</v>
      </c>
      <c r="J359" s="2">
        <v>142.9</v>
      </c>
      <c r="K359" s="2">
        <v>170.7</v>
      </c>
      <c r="L359" s="2">
        <v>120.3</v>
      </c>
      <c r="M359" s="2">
        <v>210.5</v>
      </c>
      <c r="N359" s="2">
        <v>176.9</v>
      </c>
      <c r="O359" s="2">
        <v>188.5</v>
      </c>
      <c r="P359" s="2">
        <v>175</v>
      </c>
      <c r="Q359" s="2">
        <v>196.9</v>
      </c>
      <c r="R359" s="2">
        <v>189</v>
      </c>
      <c r="S359" s="2">
        <v>186.3</v>
      </c>
      <c r="T359" s="2">
        <v>188.6</v>
      </c>
      <c r="U359" s="1" t="s">
        <v>32</v>
      </c>
      <c r="V359" s="2">
        <v>183.2</v>
      </c>
      <c r="W359" s="2">
        <v>177.2</v>
      </c>
      <c r="X359" s="2">
        <v>184.7</v>
      </c>
      <c r="Y359" s="2">
        <v>168.2</v>
      </c>
      <c r="Z359" s="2">
        <v>171.8</v>
      </c>
      <c r="AA359" s="2">
        <v>177.8</v>
      </c>
      <c r="AB359" s="2">
        <v>178.4</v>
      </c>
      <c r="AC359" s="2">
        <v>176.5</v>
      </c>
      <c r="AD359" s="2">
        <v>177.8</v>
      </c>
    </row>
    <row r="360" spans="1:30" ht="15" thickBot="1" x14ac:dyDescent="0.4">
      <c r="A360" s="1" t="s">
        <v>33</v>
      </c>
      <c r="B360" s="2">
        <v>2023</v>
      </c>
      <c r="C360" s="1" t="s">
        <v>31</v>
      </c>
      <c r="D360" s="2">
        <v>173.3</v>
      </c>
      <c r="E360" s="2">
        <v>215.2</v>
      </c>
      <c r="F360" s="2">
        <v>197</v>
      </c>
      <c r="G360" s="2">
        <v>175.2</v>
      </c>
      <c r="H360" s="2">
        <v>178</v>
      </c>
      <c r="I360" s="2">
        <v>160.5</v>
      </c>
      <c r="J360" s="2">
        <v>175.3</v>
      </c>
      <c r="K360" s="2">
        <v>171.2</v>
      </c>
      <c r="L360" s="2">
        <v>122.7</v>
      </c>
      <c r="M360" s="2">
        <v>204.3</v>
      </c>
      <c r="N360" s="2">
        <v>163.69999999999999</v>
      </c>
      <c r="O360" s="2">
        <v>194.3</v>
      </c>
      <c r="P360" s="2">
        <v>179.5</v>
      </c>
      <c r="Q360" s="2">
        <v>201.6</v>
      </c>
      <c r="R360" s="2">
        <v>178.7</v>
      </c>
      <c r="S360" s="2">
        <v>165.3</v>
      </c>
      <c r="T360" s="2">
        <v>176.6</v>
      </c>
      <c r="U360" s="2">
        <v>172.1</v>
      </c>
      <c r="V360" s="2">
        <v>180.1</v>
      </c>
      <c r="W360" s="2">
        <v>168</v>
      </c>
      <c r="X360" s="2">
        <v>178.5</v>
      </c>
      <c r="Y360" s="2">
        <v>159.5</v>
      </c>
      <c r="Z360" s="2">
        <v>167.8</v>
      </c>
      <c r="AA360" s="2">
        <v>171.8</v>
      </c>
      <c r="AB360" s="2">
        <v>178.8</v>
      </c>
      <c r="AC360" s="2">
        <v>168.9</v>
      </c>
      <c r="AD360" s="2">
        <v>174.9</v>
      </c>
    </row>
    <row r="361" spans="1:30" ht="26.5" thickBot="1" x14ac:dyDescent="0.4">
      <c r="A361" s="1" t="s">
        <v>34</v>
      </c>
      <c r="B361" s="2">
        <v>2023</v>
      </c>
      <c r="C361" s="1" t="s">
        <v>31</v>
      </c>
      <c r="D361" s="2">
        <v>173.8</v>
      </c>
      <c r="E361" s="2">
        <v>210.7</v>
      </c>
      <c r="F361" s="2">
        <v>194.5</v>
      </c>
      <c r="G361" s="2">
        <v>174.6</v>
      </c>
      <c r="H361" s="2">
        <v>187.2</v>
      </c>
      <c r="I361" s="2">
        <v>158.30000000000001</v>
      </c>
      <c r="J361" s="2">
        <v>153.9</v>
      </c>
      <c r="K361" s="2">
        <v>170.9</v>
      </c>
      <c r="L361" s="2">
        <v>121.1</v>
      </c>
      <c r="M361" s="2">
        <v>208.4</v>
      </c>
      <c r="N361" s="2">
        <v>171.4</v>
      </c>
      <c r="O361" s="2">
        <v>191.2</v>
      </c>
      <c r="P361" s="2">
        <v>176.7</v>
      </c>
      <c r="Q361" s="2">
        <v>198.2</v>
      </c>
      <c r="R361" s="2">
        <v>184.9</v>
      </c>
      <c r="S361" s="2">
        <v>177.6</v>
      </c>
      <c r="T361" s="2">
        <v>183.8</v>
      </c>
      <c r="U361" s="2">
        <v>172.1</v>
      </c>
      <c r="V361" s="2">
        <v>182</v>
      </c>
      <c r="W361" s="2">
        <v>172.9</v>
      </c>
      <c r="X361" s="2">
        <v>182.3</v>
      </c>
      <c r="Y361" s="2">
        <v>163.6</v>
      </c>
      <c r="Z361" s="2">
        <v>169.5</v>
      </c>
      <c r="AA361" s="2">
        <v>174.3</v>
      </c>
      <c r="AB361" s="2">
        <v>178.6</v>
      </c>
      <c r="AC361" s="2">
        <v>172.8</v>
      </c>
      <c r="AD361" s="2">
        <v>176.5</v>
      </c>
    </row>
    <row r="362" spans="1:30" ht="15" thickBot="1" x14ac:dyDescent="0.4">
      <c r="A362" s="1" t="s">
        <v>30</v>
      </c>
      <c r="B362" s="2">
        <v>2023</v>
      </c>
      <c r="C362" s="1" t="s">
        <v>35</v>
      </c>
      <c r="D362" s="2">
        <v>174.2</v>
      </c>
      <c r="E362" s="2">
        <v>205.2</v>
      </c>
      <c r="F362" s="2">
        <v>173.9</v>
      </c>
      <c r="G362" s="2">
        <v>177</v>
      </c>
      <c r="H362" s="2">
        <v>183.4</v>
      </c>
      <c r="I362" s="2">
        <v>167.2</v>
      </c>
      <c r="J362" s="2">
        <v>140.9</v>
      </c>
      <c r="K362" s="2">
        <v>170.4</v>
      </c>
      <c r="L362" s="2">
        <v>119.1</v>
      </c>
      <c r="M362" s="2">
        <v>212.1</v>
      </c>
      <c r="N362" s="2">
        <v>177.6</v>
      </c>
      <c r="O362" s="2">
        <v>189.9</v>
      </c>
      <c r="P362" s="2">
        <v>174.8</v>
      </c>
      <c r="Q362" s="2">
        <v>198.3</v>
      </c>
      <c r="R362" s="2">
        <v>190</v>
      </c>
      <c r="S362" s="2">
        <v>187</v>
      </c>
      <c r="T362" s="2">
        <v>189.6</v>
      </c>
      <c r="U362" s="1" t="s">
        <v>32</v>
      </c>
      <c r="V362" s="2">
        <v>181.6</v>
      </c>
      <c r="W362" s="2">
        <v>178.6</v>
      </c>
      <c r="X362" s="2">
        <v>186.6</v>
      </c>
      <c r="Y362" s="2">
        <v>169</v>
      </c>
      <c r="Z362" s="2">
        <v>172.8</v>
      </c>
      <c r="AA362" s="2">
        <v>178.5</v>
      </c>
      <c r="AB362" s="2">
        <v>180.7</v>
      </c>
      <c r="AC362" s="2">
        <v>177.9</v>
      </c>
      <c r="AD362" s="2">
        <v>178</v>
      </c>
    </row>
    <row r="363" spans="1:30" ht="15" thickBot="1" x14ac:dyDescent="0.4">
      <c r="A363" s="1" t="s">
        <v>33</v>
      </c>
      <c r="B363" s="2">
        <v>2023</v>
      </c>
      <c r="C363" s="1" t="s">
        <v>35</v>
      </c>
      <c r="D363" s="2">
        <v>174.7</v>
      </c>
      <c r="E363" s="2">
        <v>212.2</v>
      </c>
      <c r="F363" s="2">
        <v>177.2</v>
      </c>
      <c r="G363" s="2">
        <v>177.9</v>
      </c>
      <c r="H363" s="2">
        <v>172.2</v>
      </c>
      <c r="I363" s="2">
        <v>172.1</v>
      </c>
      <c r="J363" s="2">
        <v>175.8</v>
      </c>
      <c r="K363" s="2">
        <v>172.2</v>
      </c>
      <c r="L363" s="2">
        <v>121.9</v>
      </c>
      <c r="M363" s="2">
        <v>204.8</v>
      </c>
      <c r="N363" s="2">
        <v>164.9</v>
      </c>
      <c r="O363" s="2">
        <v>196.6</v>
      </c>
      <c r="P363" s="2">
        <v>180.7</v>
      </c>
      <c r="Q363" s="2">
        <v>202.7</v>
      </c>
      <c r="R363" s="2">
        <v>180.3</v>
      </c>
      <c r="S363" s="2">
        <v>167</v>
      </c>
      <c r="T363" s="2">
        <v>178.2</v>
      </c>
      <c r="U363" s="2">
        <v>173.5</v>
      </c>
      <c r="V363" s="2">
        <v>182.8</v>
      </c>
      <c r="W363" s="2">
        <v>169.2</v>
      </c>
      <c r="X363" s="2">
        <v>180.8</v>
      </c>
      <c r="Y363" s="2">
        <v>159.80000000000001</v>
      </c>
      <c r="Z363" s="2">
        <v>168.4</v>
      </c>
      <c r="AA363" s="2">
        <v>172.5</v>
      </c>
      <c r="AB363" s="2">
        <v>181.4</v>
      </c>
      <c r="AC363" s="2">
        <v>170</v>
      </c>
      <c r="AD363" s="2">
        <v>176.3</v>
      </c>
    </row>
    <row r="364" spans="1:30" ht="26.5" thickBot="1" x14ac:dyDescent="0.4">
      <c r="A364" s="1" t="s">
        <v>34</v>
      </c>
      <c r="B364" s="2">
        <v>2023</v>
      </c>
      <c r="C364" s="1" t="s">
        <v>35</v>
      </c>
      <c r="D364" s="2">
        <v>174.4</v>
      </c>
      <c r="E364" s="2">
        <v>207.7</v>
      </c>
      <c r="F364" s="2">
        <v>175.2</v>
      </c>
      <c r="G364" s="2">
        <v>177.3</v>
      </c>
      <c r="H364" s="2">
        <v>179.3</v>
      </c>
      <c r="I364" s="2">
        <v>169.5</v>
      </c>
      <c r="J364" s="2">
        <v>152.69999999999999</v>
      </c>
      <c r="K364" s="2">
        <v>171</v>
      </c>
      <c r="L364" s="2">
        <v>120</v>
      </c>
      <c r="M364" s="2">
        <v>209.7</v>
      </c>
      <c r="N364" s="2">
        <v>172.3</v>
      </c>
      <c r="O364" s="2">
        <v>193</v>
      </c>
      <c r="P364" s="2">
        <v>177</v>
      </c>
      <c r="Q364" s="2">
        <v>199.5</v>
      </c>
      <c r="R364" s="2">
        <v>186.2</v>
      </c>
      <c r="S364" s="2">
        <v>178.7</v>
      </c>
      <c r="T364" s="2">
        <v>185.1</v>
      </c>
      <c r="U364" s="2">
        <v>173.5</v>
      </c>
      <c r="V364" s="2">
        <v>182.1</v>
      </c>
      <c r="W364" s="2">
        <v>174.2</v>
      </c>
      <c r="X364" s="2">
        <v>184.4</v>
      </c>
      <c r="Y364" s="2">
        <v>164.2</v>
      </c>
      <c r="Z364" s="2">
        <v>170.3</v>
      </c>
      <c r="AA364" s="2">
        <v>175</v>
      </c>
      <c r="AB364" s="2">
        <v>181</v>
      </c>
      <c r="AC364" s="2">
        <v>174.1</v>
      </c>
      <c r="AD364" s="2">
        <v>177.2</v>
      </c>
    </row>
    <row r="365" spans="1:30" ht="15" thickBot="1" x14ac:dyDescent="0.4">
      <c r="A365" s="1" t="s">
        <v>30</v>
      </c>
      <c r="B365" s="2">
        <v>2023</v>
      </c>
      <c r="C365" s="1" t="s">
        <v>36</v>
      </c>
      <c r="D365" s="2">
        <v>174.3</v>
      </c>
      <c r="E365" s="2">
        <v>205.2</v>
      </c>
      <c r="F365" s="2">
        <v>173.9</v>
      </c>
      <c r="G365" s="2">
        <v>177</v>
      </c>
      <c r="H365" s="2">
        <v>183.3</v>
      </c>
      <c r="I365" s="2">
        <v>167.2</v>
      </c>
      <c r="J365" s="2">
        <v>140.9</v>
      </c>
      <c r="K365" s="2">
        <v>170.5</v>
      </c>
      <c r="L365" s="2">
        <v>119.1</v>
      </c>
      <c r="M365" s="2">
        <v>212.1</v>
      </c>
      <c r="N365" s="2">
        <v>177.6</v>
      </c>
      <c r="O365" s="2">
        <v>189.9</v>
      </c>
      <c r="P365" s="2">
        <v>174.8</v>
      </c>
      <c r="Q365" s="2">
        <v>198.4</v>
      </c>
      <c r="R365" s="2">
        <v>190</v>
      </c>
      <c r="S365" s="2">
        <v>187</v>
      </c>
      <c r="T365" s="2">
        <v>189.6</v>
      </c>
      <c r="U365" s="1" t="s">
        <v>32</v>
      </c>
      <c r="V365" s="2">
        <v>181.4</v>
      </c>
      <c r="W365" s="2">
        <v>178.6</v>
      </c>
      <c r="X365" s="2">
        <v>186.6</v>
      </c>
      <c r="Y365" s="2">
        <v>169</v>
      </c>
      <c r="Z365" s="2">
        <v>172.8</v>
      </c>
      <c r="AA365" s="2">
        <v>178.5</v>
      </c>
      <c r="AB365" s="2">
        <v>180.7</v>
      </c>
      <c r="AC365" s="2">
        <v>177.9</v>
      </c>
      <c r="AD365" s="2">
        <v>178</v>
      </c>
    </row>
    <row r="366" spans="1:30" ht="15" thickBot="1" x14ac:dyDescent="0.4">
      <c r="A366" s="1" t="s">
        <v>33</v>
      </c>
      <c r="B366" s="2">
        <v>2023</v>
      </c>
      <c r="C366" s="1" t="s">
        <v>36</v>
      </c>
      <c r="D366" s="2">
        <v>174.7</v>
      </c>
      <c r="E366" s="2">
        <v>212.2</v>
      </c>
      <c r="F366" s="2">
        <v>177.2</v>
      </c>
      <c r="G366" s="2">
        <v>177.9</v>
      </c>
      <c r="H366" s="2">
        <v>172.2</v>
      </c>
      <c r="I366" s="2">
        <v>172.1</v>
      </c>
      <c r="J366" s="2">
        <v>175.9</v>
      </c>
      <c r="K366" s="2">
        <v>172.2</v>
      </c>
      <c r="L366" s="2">
        <v>121.9</v>
      </c>
      <c r="M366" s="2">
        <v>204.8</v>
      </c>
      <c r="N366" s="2">
        <v>164.9</v>
      </c>
      <c r="O366" s="2">
        <v>196.6</v>
      </c>
      <c r="P366" s="2">
        <v>180.8</v>
      </c>
      <c r="Q366" s="2">
        <v>202.7</v>
      </c>
      <c r="R366" s="2">
        <v>180.2</v>
      </c>
      <c r="S366" s="2">
        <v>167</v>
      </c>
      <c r="T366" s="2">
        <v>178.2</v>
      </c>
      <c r="U366" s="2">
        <v>173.5</v>
      </c>
      <c r="V366" s="2">
        <v>182.6</v>
      </c>
      <c r="W366" s="2">
        <v>169.2</v>
      </c>
      <c r="X366" s="2">
        <v>180.8</v>
      </c>
      <c r="Y366" s="2">
        <v>159.80000000000001</v>
      </c>
      <c r="Z366" s="2">
        <v>168.4</v>
      </c>
      <c r="AA366" s="2">
        <v>172.5</v>
      </c>
      <c r="AB366" s="2">
        <v>181.5</v>
      </c>
      <c r="AC366" s="2">
        <v>170</v>
      </c>
      <c r="AD366" s="2">
        <v>176.3</v>
      </c>
    </row>
    <row r="367" spans="1:30" ht="26.5" thickBot="1" x14ac:dyDescent="0.4">
      <c r="A367" s="1" t="s">
        <v>34</v>
      </c>
      <c r="B367" s="2">
        <v>2023</v>
      </c>
      <c r="C367" s="1" t="s">
        <v>36</v>
      </c>
      <c r="D367" s="2">
        <v>174.4</v>
      </c>
      <c r="E367" s="2">
        <v>207.7</v>
      </c>
      <c r="F367" s="2">
        <v>175.2</v>
      </c>
      <c r="G367" s="2">
        <v>177.3</v>
      </c>
      <c r="H367" s="2">
        <v>179.2</v>
      </c>
      <c r="I367" s="2">
        <v>169.5</v>
      </c>
      <c r="J367" s="2">
        <v>152.80000000000001</v>
      </c>
      <c r="K367" s="2">
        <v>171.1</v>
      </c>
      <c r="L367" s="2">
        <v>120</v>
      </c>
      <c r="M367" s="2">
        <v>209.7</v>
      </c>
      <c r="N367" s="2">
        <v>172.3</v>
      </c>
      <c r="O367" s="2">
        <v>193</v>
      </c>
      <c r="P367" s="2">
        <v>177</v>
      </c>
      <c r="Q367" s="2">
        <v>199.5</v>
      </c>
      <c r="R367" s="2">
        <v>186.1</v>
      </c>
      <c r="S367" s="2">
        <v>178.7</v>
      </c>
      <c r="T367" s="2">
        <v>185.1</v>
      </c>
      <c r="U367" s="2">
        <v>173.5</v>
      </c>
      <c r="V367" s="2">
        <v>181.9</v>
      </c>
      <c r="W367" s="2">
        <v>174.2</v>
      </c>
      <c r="X367" s="2">
        <v>184.4</v>
      </c>
      <c r="Y367" s="2">
        <v>164.2</v>
      </c>
      <c r="Z367" s="2">
        <v>170.3</v>
      </c>
      <c r="AA367" s="2">
        <v>175</v>
      </c>
      <c r="AB367" s="2">
        <v>181</v>
      </c>
      <c r="AC367" s="2">
        <v>174.1</v>
      </c>
      <c r="AD367" s="2">
        <v>177.2</v>
      </c>
    </row>
    <row r="368" spans="1:30" ht="15" thickBot="1" x14ac:dyDescent="0.4">
      <c r="A368" s="1" t="s">
        <v>30</v>
      </c>
      <c r="B368" s="2">
        <v>2023</v>
      </c>
      <c r="C368" s="1" t="s">
        <v>37</v>
      </c>
      <c r="D368" s="2">
        <v>173.3</v>
      </c>
      <c r="E368" s="2">
        <v>206.9</v>
      </c>
      <c r="F368" s="2">
        <v>167.9</v>
      </c>
      <c r="G368" s="2">
        <v>178.2</v>
      </c>
      <c r="H368" s="2">
        <v>178.5</v>
      </c>
      <c r="I368" s="2">
        <v>173.7</v>
      </c>
      <c r="J368" s="2">
        <v>142.80000000000001</v>
      </c>
      <c r="K368" s="2">
        <v>172.8</v>
      </c>
      <c r="L368" s="2">
        <v>120.4</v>
      </c>
      <c r="M368" s="2">
        <v>215.5</v>
      </c>
      <c r="N368" s="2">
        <v>178.2</v>
      </c>
      <c r="O368" s="2">
        <v>190.5</v>
      </c>
      <c r="P368" s="2">
        <v>175.5</v>
      </c>
      <c r="Q368" s="2">
        <v>199.5</v>
      </c>
      <c r="R368" s="2">
        <v>190.7</v>
      </c>
      <c r="S368" s="2">
        <v>187.3</v>
      </c>
      <c r="T368" s="2">
        <v>190.2</v>
      </c>
      <c r="U368" s="1" t="s">
        <v>47</v>
      </c>
      <c r="V368" s="2">
        <v>181.5</v>
      </c>
      <c r="W368" s="2">
        <v>179.1</v>
      </c>
      <c r="X368" s="2">
        <v>187.2</v>
      </c>
      <c r="Y368" s="2">
        <v>169.4</v>
      </c>
      <c r="Z368" s="2">
        <v>173.2</v>
      </c>
      <c r="AA368" s="2">
        <v>179.4</v>
      </c>
      <c r="AB368" s="2">
        <v>183.8</v>
      </c>
      <c r="AC368" s="2">
        <v>178.9</v>
      </c>
      <c r="AD368" s="2">
        <v>178.8</v>
      </c>
    </row>
    <row r="369" spans="1:30" ht="15" thickBot="1" x14ac:dyDescent="0.4">
      <c r="A369" s="1" t="s">
        <v>33</v>
      </c>
      <c r="B369" s="2">
        <v>2023</v>
      </c>
      <c r="C369" s="1" t="s">
        <v>37</v>
      </c>
      <c r="D369" s="2">
        <v>174.8</v>
      </c>
      <c r="E369" s="2">
        <v>213.7</v>
      </c>
      <c r="F369" s="2">
        <v>172.4</v>
      </c>
      <c r="G369" s="2">
        <v>178.8</v>
      </c>
      <c r="H369" s="2">
        <v>168.7</v>
      </c>
      <c r="I369" s="2">
        <v>179.2</v>
      </c>
      <c r="J369" s="2">
        <v>179.9</v>
      </c>
      <c r="K369" s="2">
        <v>174.7</v>
      </c>
      <c r="L369" s="2">
        <v>123.1</v>
      </c>
      <c r="M369" s="2">
        <v>207.8</v>
      </c>
      <c r="N369" s="2">
        <v>165.5</v>
      </c>
      <c r="O369" s="2">
        <v>197</v>
      </c>
      <c r="P369" s="2">
        <v>182.1</v>
      </c>
      <c r="Q369" s="2">
        <v>203.5</v>
      </c>
      <c r="R369" s="2">
        <v>181</v>
      </c>
      <c r="S369" s="2">
        <v>167.7</v>
      </c>
      <c r="T369" s="2">
        <v>178.9</v>
      </c>
      <c r="U369" s="2">
        <v>175.2</v>
      </c>
      <c r="V369" s="2">
        <v>182.1</v>
      </c>
      <c r="W369" s="2">
        <v>169.6</v>
      </c>
      <c r="X369" s="2">
        <v>181.5</v>
      </c>
      <c r="Y369" s="2">
        <v>160.1</v>
      </c>
      <c r="Z369" s="2">
        <v>168.8</v>
      </c>
      <c r="AA369" s="2">
        <v>174.2</v>
      </c>
      <c r="AB369" s="2">
        <v>184.4</v>
      </c>
      <c r="AC369" s="2">
        <v>170.9</v>
      </c>
      <c r="AD369" s="2">
        <v>177.4</v>
      </c>
    </row>
    <row r="370" spans="1:30" ht="26.5" thickBot="1" x14ac:dyDescent="0.4">
      <c r="A370" s="1" t="s">
        <v>34</v>
      </c>
      <c r="B370" s="2">
        <v>2023</v>
      </c>
      <c r="C370" s="1" t="s">
        <v>37</v>
      </c>
      <c r="D370" s="2">
        <v>173.8</v>
      </c>
      <c r="E370" s="2">
        <v>209.3</v>
      </c>
      <c r="F370" s="2">
        <v>169.6</v>
      </c>
      <c r="G370" s="2">
        <v>178.4</v>
      </c>
      <c r="H370" s="2">
        <v>174.9</v>
      </c>
      <c r="I370" s="2">
        <v>176.3</v>
      </c>
      <c r="J370" s="2">
        <v>155.4</v>
      </c>
      <c r="K370" s="2">
        <v>173.4</v>
      </c>
      <c r="L370" s="2">
        <v>121.3</v>
      </c>
      <c r="M370" s="2">
        <v>212.9</v>
      </c>
      <c r="N370" s="2">
        <v>172.9</v>
      </c>
      <c r="O370" s="2">
        <v>193.5</v>
      </c>
      <c r="P370" s="2">
        <v>177.9</v>
      </c>
      <c r="Q370" s="2">
        <v>200.6</v>
      </c>
      <c r="R370" s="2">
        <v>186.9</v>
      </c>
      <c r="S370" s="2">
        <v>179.2</v>
      </c>
      <c r="T370" s="2">
        <v>185.7</v>
      </c>
      <c r="U370" s="2">
        <v>175.2</v>
      </c>
      <c r="V370" s="2">
        <v>181.7</v>
      </c>
      <c r="W370" s="2">
        <v>174.6</v>
      </c>
      <c r="X370" s="2">
        <v>185</v>
      </c>
      <c r="Y370" s="2">
        <v>164.5</v>
      </c>
      <c r="Z370" s="2">
        <v>170.7</v>
      </c>
      <c r="AA370" s="2">
        <v>176.4</v>
      </c>
      <c r="AB370" s="2">
        <v>184</v>
      </c>
      <c r="AC370" s="2">
        <v>175</v>
      </c>
      <c r="AD370" s="2">
        <v>178.1</v>
      </c>
    </row>
    <row r="371" spans="1:30" ht="15" thickBot="1" x14ac:dyDescent="0.4">
      <c r="A371" s="1" t="s">
        <v>30</v>
      </c>
      <c r="B371" s="2">
        <v>2023</v>
      </c>
      <c r="C371" s="1" t="s">
        <v>38</v>
      </c>
      <c r="D371" s="2">
        <v>173.2</v>
      </c>
      <c r="E371" s="2">
        <v>211.5</v>
      </c>
      <c r="F371" s="2">
        <v>171</v>
      </c>
      <c r="G371" s="2">
        <v>179.6</v>
      </c>
      <c r="H371" s="2">
        <v>173.3</v>
      </c>
      <c r="I371" s="2">
        <v>169</v>
      </c>
      <c r="J371" s="2">
        <v>148.69999999999999</v>
      </c>
      <c r="K371" s="2">
        <v>174.9</v>
      </c>
      <c r="L371" s="2">
        <v>121.9</v>
      </c>
      <c r="M371" s="2">
        <v>221</v>
      </c>
      <c r="N371" s="2">
        <v>178.7</v>
      </c>
      <c r="O371" s="2">
        <v>191.1</v>
      </c>
      <c r="P371" s="2">
        <v>176.8</v>
      </c>
      <c r="Q371" s="2">
        <v>199.9</v>
      </c>
      <c r="R371" s="2">
        <v>191.2</v>
      </c>
      <c r="S371" s="2">
        <v>187.9</v>
      </c>
      <c r="T371" s="2">
        <v>190.8</v>
      </c>
      <c r="U371" s="1" t="s">
        <v>47</v>
      </c>
      <c r="V371" s="2">
        <v>182.5</v>
      </c>
      <c r="W371" s="2">
        <v>179.8</v>
      </c>
      <c r="X371" s="2">
        <v>187.8</v>
      </c>
      <c r="Y371" s="2">
        <v>169.7</v>
      </c>
      <c r="Z371" s="2">
        <v>173.8</v>
      </c>
      <c r="AA371" s="2">
        <v>180.3</v>
      </c>
      <c r="AB371" s="2">
        <v>184.9</v>
      </c>
      <c r="AC371" s="2">
        <v>179.5</v>
      </c>
      <c r="AD371" s="2">
        <v>179.8</v>
      </c>
    </row>
    <row r="372" spans="1:30" ht="15" thickBot="1" x14ac:dyDescent="0.4">
      <c r="A372" s="1" t="s">
        <v>33</v>
      </c>
      <c r="B372" s="2">
        <v>2023</v>
      </c>
      <c r="C372" s="1" t="s">
        <v>38</v>
      </c>
      <c r="D372" s="2">
        <v>174.7</v>
      </c>
      <c r="E372" s="2">
        <v>219.4</v>
      </c>
      <c r="F372" s="2">
        <v>176.7</v>
      </c>
      <c r="G372" s="2">
        <v>179.4</v>
      </c>
      <c r="H372" s="2">
        <v>164.4</v>
      </c>
      <c r="I372" s="2">
        <v>175.8</v>
      </c>
      <c r="J372" s="2">
        <v>185</v>
      </c>
      <c r="K372" s="2">
        <v>176.9</v>
      </c>
      <c r="L372" s="2">
        <v>124.2</v>
      </c>
      <c r="M372" s="2">
        <v>211.9</v>
      </c>
      <c r="N372" s="2">
        <v>165.9</v>
      </c>
      <c r="O372" s="2">
        <v>197.7</v>
      </c>
      <c r="P372" s="2">
        <v>183.1</v>
      </c>
      <c r="Q372" s="2">
        <v>204.2</v>
      </c>
      <c r="R372" s="2">
        <v>181.3</v>
      </c>
      <c r="S372" s="2">
        <v>168.1</v>
      </c>
      <c r="T372" s="2">
        <v>179.3</v>
      </c>
      <c r="U372" s="2">
        <v>175.6</v>
      </c>
      <c r="V372" s="2">
        <v>183.4</v>
      </c>
      <c r="W372" s="2">
        <v>170.1</v>
      </c>
      <c r="X372" s="2">
        <v>182.2</v>
      </c>
      <c r="Y372" s="2">
        <v>160.4</v>
      </c>
      <c r="Z372" s="2">
        <v>169.2</v>
      </c>
      <c r="AA372" s="2">
        <v>174.8</v>
      </c>
      <c r="AB372" s="2">
        <v>185.6</v>
      </c>
      <c r="AC372" s="2">
        <v>171.6</v>
      </c>
      <c r="AD372" s="2">
        <v>178.2</v>
      </c>
    </row>
    <row r="373" spans="1:30" ht="26.5" thickBot="1" x14ac:dyDescent="0.4">
      <c r="A373" s="1" t="s">
        <v>34</v>
      </c>
      <c r="B373" s="2">
        <v>2023</v>
      </c>
      <c r="C373" s="1" t="s">
        <v>38</v>
      </c>
      <c r="D373" s="2">
        <v>173.7</v>
      </c>
      <c r="E373" s="2">
        <v>214.3</v>
      </c>
      <c r="F373" s="2">
        <v>173.2</v>
      </c>
      <c r="G373" s="2">
        <v>179.5</v>
      </c>
      <c r="H373" s="2">
        <v>170</v>
      </c>
      <c r="I373" s="2">
        <v>172.2</v>
      </c>
      <c r="J373" s="2">
        <v>161</v>
      </c>
      <c r="K373" s="2">
        <v>175.6</v>
      </c>
      <c r="L373" s="2">
        <v>122.7</v>
      </c>
      <c r="M373" s="2">
        <v>218</v>
      </c>
      <c r="N373" s="2">
        <v>173.4</v>
      </c>
      <c r="O373" s="2">
        <v>194.2</v>
      </c>
      <c r="P373" s="2">
        <v>179.1</v>
      </c>
      <c r="Q373" s="2">
        <v>201</v>
      </c>
      <c r="R373" s="2">
        <v>187.3</v>
      </c>
      <c r="S373" s="2">
        <v>179.7</v>
      </c>
      <c r="T373" s="2">
        <v>186.2</v>
      </c>
      <c r="U373" s="2">
        <v>175.6</v>
      </c>
      <c r="V373" s="2">
        <v>182.8</v>
      </c>
      <c r="W373" s="2">
        <v>175.2</v>
      </c>
      <c r="X373" s="2">
        <v>185.7</v>
      </c>
      <c r="Y373" s="2">
        <v>164.8</v>
      </c>
      <c r="Z373" s="2">
        <v>171.2</v>
      </c>
      <c r="AA373" s="2">
        <v>177.1</v>
      </c>
      <c r="AB373" s="2">
        <v>185.2</v>
      </c>
      <c r="AC373" s="2">
        <v>175.7</v>
      </c>
      <c r="AD373" s="2">
        <v>179.1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219BF-25F2-4919-BDEB-7DB323AF8922}">
  <dimension ref="A1:AF373"/>
  <sheetViews>
    <sheetView topLeftCell="P1" workbookViewId="0">
      <selection activeCell="V2" sqref="V2"/>
    </sheetView>
  </sheetViews>
  <sheetFormatPr defaultRowHeight="14.5" x14ac:dyDescent="0.35"/>
  <cols>
    <col min="6" max="6" width="11.36328125" bestFit="1" customWidth="1"/>
    <col min="16" max="16" width="11.36328125" bestFit="1" customWidth="1"/>
    <col min="18" max="18" width="11.36328125" bestFit="1" customWidth="1"/>
    <col min="24" max="24" width="11.36328125" bestFit="1" customWidth="1"/>
    <col min="26" max="26" width="11.453125" bestFit="1" customWidth="1"/>
    <col min="27" max="31" width="9.36328125" bestFit="1" customWidth="1"/>
  </cols>
  <sheetData>
    <row r="1" spans="1:31" s="15" customFormat="1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</row>
    <row r="2" spans="1:31" ht="15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107.5</v>
      </c>
      <c r="F2" s="11">
        <v>106.3</v>
      </c>
      <c r="G2" s="11">
        <v>108.1</v>
      </c>
      <c r="H2" s="11">
        <v>104.9</v>
      </c>
      <c r="I2" s="11">
        <v>106.1</v>
      </c>
      <c r="J2" s="11">
        <v>103.9</v>
      </c>
      <c r="K2" s="11">
        <v>101.9</v>
      </c>
      <c r="L2" s="11">
        <v>106.1</v>
      </c>
      <c r="M2" s="11">
        <v>106.8</v>
      </c>
      <c r="N2" s="11">
        <v>103.1</v>
      </c>
      <c r="O2" s="11">
        <v>104.8</v>
      </c>
      <c r="P2" s="11">
        <v>106.7</v>
      </c>
      <c r="Q2" s="11">
        <v>105.5</v>
      </c>
      <c r="R2" s="11">
        <v>105.1</v>
      </c>
      <c r="S2" s="11">
        <v>106.5</v>
      </c>
      <c r="T2" s="11">
        <v>105.8</v>
      </c>
      <c r="U2" s="11">
        <v>106.4</v>
      </c>
      <c r="V2" s="11">
        <f>VLOOKUP($A2,'Impute housing Missing Value'!$A$1:$C$125,3,0)</f>
        <v>100.3</v>
      </c>
      <c r="W2" s="11">
        <v>105.5</v>
      </c>
      <c r="X2" s="11">
        <v>104.8</v>
      </c>
      <c r="Y2" s="11">
        <v>104</v>
      </c>
      <c r="Z2" s="11">
        <v>103.3</v>
      </c>
      <c r="AA2" s="11">
        <v>103.4</v>
      </c>
      <c r="AB2" s="11">
        <v>103.8</v>
      </c>
      <c r="AC2" s="11">
        <v>104.7</v>
      </c>
      <c r="AD2" s="11">
        <v>104</v>
      </c>
      <c r="AE2" s="11">
        <v>105.1</v>
      </c>
    </row>
    <row r="3" spans="1:31" ht="15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110.5</v>
      </c>
      <c r="F3" s="2">
        <v>109.1</v>
      </c>
      <c r="G3" s="2">
        <v>113</v>
      </c>
      <c r="H3" s="2">
        <v>103.6</v>
      </c>
      <c r="I3" s="2">
        <v>103.4</v>
      </c>
      <c r="J3" s="2">
        <v>102.3</v>
      </c>
      <c r="K3" s="2">
        <v>102.9</v>
      </c>
      <c r="L3" s="2">
        <v>105.8</v>
      </c>
      <c r="M3" s="2">
        <v>105.1</v>
      </c>
      <c r="N3" s="2">
        <v>101.8</v>
      </c>
      <c r="O3" s="2">
        <v>105.1</v>
      </c>
      <c r="P3" s="2">
        <v>107.9</v>
      </c>
      <c r="Q3" s="2">
        <v>105.9</v>
      </c>
      <c r="R3" s="2">
        <v>105.2</v>
      </c>
      <c r="S3" s="2">
        <v>105.9</v>
      </c>
      <c r="T3" s="2">
        <v>105</v>
      </c>
      <c r="U3" s="2">
        <v>105.8</v>
      </c>
      <c r="V3" s="2">
        <v>100.4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</row>
    <row r="4" spans="1:31" ht="26.5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108.4</v>
      </c>
      <c r="F4" s="2">
        <v>107.3</v>
      </c>
      <c r="G4" s="2">
        <v>110</v>
      </c>
      <c r="H4" s="2">
        <v>104.4</v>
      </c>
      <c r="I4" s="2">
        <v>105.1</v>
      </c>
      <c r="J4" s="2">
        <v>103.2</v>
      </c>
      <c r="K4" s="2">
        <v>102.2</v>
      </c>
      <c r="L4" s="2">
        <v>106</v>
      </c>
      <c r="M4" s="2">
        <v>106.2</v>
      </c>
      <c r="N4" s="2">
        <v>102.7</v>
      </c>
      <c r="O4" s="2">
        <v>104.9</v>
      </c>
      <c r="P4" s="2">
        <v>107.3</v>
      </c>
      <c r="Q4" s="2">
        <v>105.6</v>
      </c>
      <c r="R4" s="2">
        <v>105.1</v>
      </c>
      <c r="S4" s="2">
        <v>106.3</v>
      </c>
      <c r="T4" s="2">
        <v>105.5</v>
      </c>
      <c r="U4" s="2">
        <v>106.2</v>
      </c>
      <c r="V4" s="2">
        <v>100.4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</row>
    <row r="5" spans="1:31" ht="15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109.2</v>
      </c>
      <c r="F5" s="2">
        <v>108.7</v>
      </c>
      <c r="G5" s="2">
        <v>110.2</v>
      </c>
      <c r="H5" s="2">
        <v>105.4</v>
      </c>
      <c r="I5" s="2">
        <v>106.7</v>
      </c>
      <c r="J5" s="2">
        <v>104</v>
      </c>
      <c r="K5" s="2">
        <v>102.4</v>
      </c>
      <c r="L5" s="2">
        <v>105.9</v>
      </c>
      <c r="M5" s="2">
        <v>105.7</v>
      </c>
      <c r="N5" s="2">
        <v>103.1</v>
      </c>
      <c r="O5" s="2">
        <v>105.1</v>
      </c>
      <c r="P5" s="2">
        <v>107.7</v>
      </c>
      <c r="Q5" s="2">
        <v>106.3</v>
      </c>
      <c r="R5" s="2">
        <v>105.6</v>
      </c>
      <c r="S5" s="2">
        <v>107.1</v>
      </c>
      <c r="T5" s="2">
        <v>106.3</v>
      </c>
      <c r="U5" s="2">
        <v>107</v>
      </c>
      <c r="V5" s="2">
        <f>VLOOKUP($A5,'Impute housing Missing Value'!$A$1:$C$125,3,0)</f>
        <v>100.4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</row>
    <row r="6" spans="1:31" ht="15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112.9</v>
      </c>
      <c r="F6" s="2">
        <v>112.9</v>
      </c>
      <c r="G6" s="2">
        <v>116.9</v>
      </c>
      <c r="H6" s="2">
        <v>104</v>
      </c>
      <c r="I6" s="2">
        <v>103.5</v>
      </c>
      <c r="J6" s="2">
        <v>103.1</v>
      </c>
      <c r="K6" s="2">
        <v>104.9</v>
      </c>
      <c r="L6" s="2">
        <v>104.1</v>
      </c>
      <c r="M6" s="2">
        <v>103.8</v>
      </c>
      <c r="N6" s="2">
        <v>102.3</v>
      </c>
      <c r="O6" s="2">
        <v>106</v>
      </c>
      <c r="P6" s="2">
        <v>109</v>
      </c>
      <c r="Q6" s="2">
        <v>107.2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</row>
    <row r="7" spans="1:31" ht="26.5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110.4</v>
      </c>
      <c r="F7" s="2">
        <v>110.2</v>
      </c>
      <c r="G7" s="2">
        <v>112.8</v>
      </c>
      <c r="H7" s="2">
        <v>104.9</v>
      </c>
      <c r="I7" s="2">
        <v>105.5</v>
      </c>
      <c r="J7" s="2">
        <v>103.6</v>
      </c>
      <c r="K7" s="2">
        <v>103.2</v>
      </c>
      <c r="L7" s="2">
        <v>105.3</v>
      </c>
      <c r="M7" s="2">
        <v>105.1</v>
      </c>
      <c r="N7" s="2">
        <v>102.8</v>
      </c>
      <c r="O7" s="2">
        <v>105.5</v>
      </c>
      <c r="P7" s="2">
        <v>108.3</v>
      </c>
      <c r="Q7" s="2">
        <v>106.6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</row>
    <row r="8" spans="1:31" ht="15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110.2</v>
      </c>
      <c r="F8" s="2">
        <v>108.8</v>
      </c>
      <c r="G8" s="2">
        <v>109.9</v>
      </c>
      <c r="H8" s="2">
        <v>105.6</v>
      </c>
      <c r="I8" s="2">
        <v>106.2</v>
      </c>
      <c r="J8" s="2">
        <v>105.7</v>
      </c>
      <c r="K8" s="2">
        <v>101.4</v>
      </c>
      <c r="L8" s="2">
        <v>105.7</v>
      </c>
      <c r="M8" s="2">
        <v>105</v>
      </c>
      <c r="N8" s="2">
        <v>103.3</v>
      </c>
      <c r="O8" s="2">
        <v>105.6</v>
      </c>
      <c r="P8" s="2">
        <v>108.2</v>
      </c>
      <c r="Q8" s="2">
        <v>106.6</v>
      </c>
      <c r="R8" s="2">
        <v>106.5</v>
      </c>
      <c r="S8" s="2">
        <v>107.6</v>
      </c>
      <c r="T8" s="2">
        <v>106.8</v>
      </c>
      <c r="U8" s="2">
        <v>107.5</v>
      </c>
      <c r="V8" s="2">
        <f>VLOOKUP($A8,'Impute housing Missing Value'!$A$1:$C$125,3,0)</f>
        <v>100.4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</row>
    <row r="9" spans="1:31" ht="15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113.9</v>
      </c>
      <c r="F9" s="2">
        <v>111.4</v>
      </c>
      <c r="G9" s="2">
        <v>113.2</v>
      </c>
      <c r="H9" s="2">
        <v>104.3</v>
      </c>
      <c r="I9" s="2">
        <v>102.7</v>
      </c>
      <c r="J9" s="2">
        <v>104.9</v>
      </c>
      <c r="K9" s="2">
        <v>103.8</v>
      </c>
      <c r="L9" s="2">
        <v>103.5</v>
      </c>
      <c r="M9" s="2">
        <v>102.6</v>
      </c>
      <c r="N9" s="2">
        <v>102.4</v>
      </c>
      <c r="O9" s="2">
        <v>107</v>
      </c>
      <c r="P9" s="2">
        <v>109.8</v>
      </c>
      <c r="Q9" s="2">
        <v>107.3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</row>
    <row r="10" spans="1:31" ht="26.5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111.4</v>
      </c>
      <c r="F10" s="2">
        <v>109.7</v>
      </c>
      <c r="G10" s="2">
        <v>111.2</v>
      </c>
      <c r="H10" s="2">
        <v>105.1</v>
      </c>
      <c r="I10" s="2">
        <v>104.9</v>
      </c>
      <c r="J10" s="2">
        <v>105.3</v>
      </c>
      <c r="K10" s="2">
        <v>102.2</v>
      </c>
      <c r="L10" s="2">
        <v>105</v>
      </c>
      <c r="M10" s="2">
        <v>104.2</v>
      </c>
      <c r="N10" s="2">
        <v>103</v>
      </c>
      <c r="O10" s="2">
        <v>106.2</v>
      </c>
      <c r="P10" s="2">
        <v>108.9</v>
      </c>
      <c r="Q10" s="2">
        <v>106.9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</row>
    <row r="11" spans="1:31" ht="15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110.2</v>
      </c>
      <c r="F11" s="2">
        <v>109.5</v>
      </c>
      <c r="G11" s="2">
        <v>106.9</v>
      </c>
      <c r="H11" s="2">
        <v>106.3</v>
      </c>
      <c r="I11" s="2">
        <v>105.7</v>
      </c>
      <c r="J11" s="2">
        <v>108.3</v>
      </c>
      <c r="K11" s="2">
        <v>103.4</v>
      </c>
      <c r="L11" s="2">
        <v>105.7</v>
      </c>
      <c r="M11" s="2">
        <v>104.2</v>
      </c>
      <c r="N11" s="2">
        <v>103.2</v>
      </c>
      <c r="O11" s="2">
        <v>106.5</v>
      </c>
      <c r="P11" s="2">
        <v>108.8</v>
      </c>
      <c r="Q11" s="2">
        <v>107.1</v>
      </c>
      <c r="R11" s="2">
        <v>107.1</v>
      </c>
      <c r="S11" s="2">
        <v>108.1</v>
      </c>
      <c r="T11" s="2">
        <v>107.4</v>
      </c>
      <c r="U11" s="2">
        <v>108</v>
      </c>
      <c r="V11" s="2">
        <f>VLOOKUP($A11,'Impute housing Missing Value'!$A$1:$C$125,3,0)</f>
        <v>100.5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</row>
    <row r="12" spans="1:31" ht="15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114.6</v>
      </c>
      <c r="F12" s="2">
        <v>113.4</v>
      </c>
      <c r="G12" s="2">
        <v>106</v>
      </c>
      <c r="H12" s="2">
        <v>104.7</v>
      </c>
      <c r="I12" s="2">
        <v>102.1</v>
      </c>
      <c r="J12" s="2">
        <v>109.5</v>
      </c>
      <c r="K12" s="2">
        <v>109.7</v>
      </c>
      <c r="L12" s="2">
        <v>104.6</v>
      </c>
      <c r="M12" s="2">
        <v>102</v>
      </c>
      <c r="N12" s="2">
        <v>103.5</v>
      </c>
      <c r="O12" s="2">
        <v>108.2</v>
      </c>
      <c r="P12" s="2">
        <v>110.6</v>
      </c>
      <c r="Q12" s="2">
        <v>108.8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100.4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</row>
    <row r="13" spans="1:31" ht="26.5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111.6</v>
      </c>
      <c r="F13" s="2">
        <v>110.9</v>
      </c>
      <c r="G13" s="2">
        <v>106.6</v>
      </c>
      <c r="H13" s="2">
        <v>105.7</v>
      </c>
      <c r="I13" s="2">
        <v>104.4</v>
      </c>
      <c r="J13" s="2">
        <v>108.9</v>
      </c>
      <c r="K13" s="2">
        <v>105.5</v>
      </c>
      <c r="L13" s="2">
        <v>105.3</v>
      </c>
      <c r="M13" s="2">
        <v>103.5</v>
      </c>
      <c r="N13" s="2">
        <v>103.3</v>
      </c>
      <c r="O13" s="2">
        <v>107.2</v>
      </c>
      <c r="P13" s="2">
        <v>109.6</v>
      </c>
      <c r="Q13" s="2">
        <v>107.7</v>
      </c>
      <c r="R13" s="2">
        <v>107.5</v>
      </c>
      <c r="S13" s="2">
        <v>108</v>
      </c>
      <c r="T13" s="2">
        <v>107</v>
      </c>
      <c r="U13" s="2">
        <v>107.9</v>
      </c>
      <c r="V13" s="2">
        <v>100.4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</row>
    <row r="14" spans="1:31" ht="15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110.9</v>
      </c>
      <c r="F14" s="2">
        <v>109.8</v>
      </c>
      <c r="G14" s="2">
        <v>105.9</v>
      </c>
      <c r="H14" s="2">
        <v>107.5</v>
      </c>
      <c r="I14" s="2">
        <v>105.3</v>
      </c>
      <c r="J14" s="2">
        <v>108.1</v>
      </c>
      <c r="K14" s="2">
        <v>107.3</v>
      </c>
      <c r="L14" s="2">
        <v>106.1</v>
      </c>
      <c r="M14" s="2">
        <v>103.7</v>
      </c>
      <c r="N14" s="2">
        <v>104</v>
      </c>
      <c r="O14" s="2">
        <v>107.4</v>
      </c>
      <c r="P14" s="2">
        <v>109.9</v>
      </c>
      <c r="Q14" s="2">
        <v>108.1</v>
      </c>
      <c r="R14" s="2">
        <v>108.1</v>
      </c>
      <c r="S14" s="2">
        <v>108.8</v>
      </c>
      <c r="T14" s="2">
        <v>107.9</v>
      </c>
      <c r="U14" s="2">
        <v>108.6</v>
      </c>
      <c r="V14" s="2">
        <f>VLOOKUP($A14,'Impute housing Missing Value'!$A$1:$C$125,3,0)</f>
        <v>100.5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</row>
    <row r="15" spans="1:31" ht="15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115.4</v>
      </c>
      <c r="F15" s="2">
        <v>114.2</v>
      </c>
      <c r="G15" s="2">
        <v>102.7</v>
      </c>
      <c r="H15" s="2">
        <v>105.5</v>
      </c>
      <c r="I15" s="2">
        <v>101.5</v>
      </c>
      <c r="J15" s="2">
        <v>110.6</v>
      </c>
      <c r="K15" s="2">
        <v>123.7</v>
      </c>
      <c r="L15" s="2">
        <v>105.2</v>
      </c>
      <c r="M15" s="2">
        <v>101.9</v>
      </c>
      <c r="N15" s="2">
        <v>105</v>
      </c>
      <c r="O15" s="2">
        <v>109.1</v>
      </c>
      <c r="P15" s="2">
        <v>111.3</v>
      </c>
      <c r="Q15" s="2">
        <v>111.1</v>
      </c>
      <c r="R15" s="2">
        <v>109.8</v>
      </c>
      <c r="S15" s="2">
        <v>108.5</v>
      </c>
      <c r="T15" s="2">
        <v>106.7</v>
      </c>
      <c r="U15" s="2">
        <v>108.3</v>
      </c>
      <c r="V15" s="2">
        <v>100.4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</row>
    <row r="16" spans="1:31" ht="26.5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112.3</v>
      </c>
      <c r="F16" s="2">
        <v>111.3</v>
      </c>
      <c r="G16" s="2">
        <v>104.7</v>
      </c>
      <c r="H16" s="2">
        <v>106.8</v>
      </c>
      <c r="I16" s="2">
        <v>103.9</v>
      </c>
      <c r="J16" s="2">
        <v>109.3</v>
      </c>
      <c r="K16" s="2">
        <v>112.9</v>
      </c>
      <c r="L16" s="2">
        <v>105.8</v>
      </c>
      <c r="M16" s="2">
        <v>103.1</v>
      </c>
      <c r="N16" s="2">
        <v>104.3</v>
      </c>
      <c r="O16" s="2">
        <v>108.1</v>
      </c>
      <c r="P16" s="2">
        <v>110.5</v>
      </c>
      <c r="Q16" s="2">
        <v>109.2</v>
      </c>
      <c r="R16" s="2">
        <v>108.6</v>
      </c>
      <c r="S16" s="2">
        <v>108.7</v>
      </c>
      <c r="T16" s="2">
        <v>107.4</v>
      </c>
      <c r="U16" s="2">
        <v>108.5</v>
      </c>
      <c r="V16" s="2">
        <v>100.4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</row>
    <row r="17" spans="1:31" ht="15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112.3</v>
      </c>
      <c r="F17" s="2">
        <v>112.1</v>
      </c>
      <c r="G17" s="2">
        <v>108.1</v>
      </c>
      <c r="H17" s="2">
        <v>108.3</v>
      </c>
      <c r="I17" s="2">
        <v>105.9</v>
      </c>
      <c r="J17" s="2">
        <v>109.2</v>
      </c>
      <c r="K17" s="2">
        <v>118</v>
      </c>
      <c r="L17" s="2">
        <v>106.8</v>
      </c>
      <c r="M17" s="2">
        <v>104.1</v>
      </c>
      <c r="N17" s="2">
        <v>105.4</v>
      </c>
      <c r="O17" s="2">
        <v>108.2</v>
      </c>
      <c r="P17" s="2">
        <v>111</v>
      </c>
      <c r="Q17" s="2">
        <v>110.6</v>
      </c>
      <c r="R17" s="2">
        <v>109</v>
      </c>
      <c r="S17" s="2">
        <v>109.7</v>
      </c>
      <c r="T17" s="2">
        <v>108.8</v>
      </c>
      <c r="U17" s="2">
        <v>109.5</v>
      </c>
      <c r="V17" s="2">
        <f>VLOOKUP($A17,'Impute housing Missing Value'!$A$1:$C$125,3,0)</f>
        <v>106.6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</row>
    <row r="18" spans="1:31" ht="15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117</v>
      </c>
      <c r="F18" s="2">
        <v>120.1</v>
      </c>
      <c r="G18" s="2">
        <v>112.5</v>
      </c>
      <c r="H18" s="2">
        <v>107.3</v>
      </c>
      <c r="I18" s="2">
        <v>101.3</v>
      </c>
      <c r="J18" s="2">
        <v>112.4</v>
      </c>
      <c r="K18" s="2">
        <v>143.6</v>
      </c>
      <c r="L18" s="2">
        <v>105.4</v>
      </c>
      <c r="M18" s="2">
        <v>101.4</v>
      </c>
      <c r="N18" s="2">
        <v>106.4</v>
      </c>
      <c r="O18" s="2">
        <v>110</v>
      </c>
      <c r="P18" s="2">
        <v>112.2</v>
      </c>
      <c r="Q18" s="2">
        <v>115</v>
      </c>
      <c r="R18" s="2">
        <v>110.9</v>
      </c>
      <c r="S18" s="2">
        <v>109.2</v>
      </c>
      <c r="T18" s="2">
        <v>107.2</v>
      </c>
      <c r="U18" s="2">
        <v>108.9</v>
      </c>
      <c r="V18" s="2">
        <v>100.4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</row>
    <row r="19" spans="1:31" ht="26.5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113.8</v>
      </c>
      <c r="F19" s="2">
        <v>114.9</v>
      </c>
      <c r="G19" s="2">
        <v>109.8</v>
      </c>
      <c r="H19" s="2">
        <v>107.9</v>
      </c>
      <c r="I19" s="2">
        <v>104.2</v>
      </c>
      <c r="J19" s="2">
        <v>110.7</v>
      </c>
      <c r="K19" s="2">
        <v>126.7</v>
      </c>
      <c r="L19" s="2">
        <v>106.3</v>
      </c>
      <c r="M19" s="2">
        <v>103.2</v>
      </c>
      <c r="N19" s="2">
        <v>105.7</v>
      </c>
      <c r="O19" s="2">
        <v>109</v>
      </c>
      <c r="P19" s="2">
        <v>111.6</v>
      </c>
      <c r="Q19" s="2">
        <v>112.2</v>
      </c>
      <c r="R19" s="2">
        <v>109.5</v>
      </c>
      <c r="S19" s="2">
        <v>109.5</v>
      </c>
      <c r="T19" s="2">
        <v>108.1</v>
      </c>
      <c r="U19" s="2">
        <v>109.3</v>
      </c>
      <c r="V19" s="2">
        <v>100.4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</row>
    <row r="20" spans="1:31" ht="15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113.4</v>
      </c>
      <c r="F20" s="2">
        <v>114.9</v>
      </c>
      <c r="G20" s="2">
        <v>110.5</v>
      </c>
      <c r="H20" s="2">
        <v>109.3</v>
      </c>
      <c r="I20" s="2">
        <v>106.2</v>
      </c>
      <c r="J20" s="2">
        <v>110.3</v>
      </c>
      <c r="K20" s="2">
        <v>129.19999999999999</v>
      </c>
      <c r="L20" s="2">
        <v>107.1</v>
      </c>
      <c r="M20" s="2">
        <v>104.3</v>
      </c>
      <c r="N20" s="2">
        <v>106.4</v>
      </c>
      <c r="O20" s="2">
        <v>109.1</v>
      </c>
      <c r="P20" s="2">
        <v>112.1</v>
      </c>
      <c r="Q20" s="2">
        <v>113.1</v>
      </c>
      <c r="R20" s="2">
        <v>109.8</v>
      </c>
      <c r="S20" s="2">
        <v>110.5</v>
      </c>
      <c r="T20" s="2">
        <v>109.5</v>
      </c>
      <c r="U20" s="2">
        <v>110.3</v>
      </c>
      <c r="V20" s="2">
        <f>VLOOKUP($A20,'Impute housing Missing Value'!$A$1:$C$125,3,0)</f>
        <v>107.7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</row>
    <row r="21" spans="1:31" ht="15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117.8</v>
      </c>
      <c r="F21" s="2">
        <v>119.2</v>
      </c>
      <c r="G21" s="2">
        <v>114</v>
      </c>
      <c r="H21" s="2">
        <v>108.3</v>
      </c>
      <c r="I21" s="2">
        <v>101.1</v>
      </c>
      <c r="J21" s="2">
        <v>113.2</v>
      </c>
      <c r="K21" s="2">
        <v>160.9</v>
      </c>
      <c r="L21" s="2">
        <v>105.1</v>
      </c>
      <c r="M21" s="2">
        <v>101.3</v>
      </c>
      <c r="N21" s="2">
        <v>107.5</v>
      </c>
      <c r="O21" s="2">
        <v>110.4</v>
      </c>
      <c r="P21" s="2">
        <v>113.1</v>
      </c>
      <c r="Q21" s="2">
        <v>117.5</v>
      </c>
      <c r="R21" s="2">
        <v>111.7</v>
      </c>
      <c r="S21" s="2">
        <v>109.8</v>
      </c>
      <c r="T21" s="2">
        <v>107.8</v>
      </c>
      <c r="U21" s="2">
        <v>109.5</v>
      </c>
      <c r="V21" s="2">
        <v>100.4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</row>
    <row r="22" spans="1:31" ht="26.5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114.8</v>
      </c>
      <c r="F22" s="2">
        <v>116.4</v>
      </c>
      <c r="G22" s="2">
        <v>111.9</v>
      </c>
      <c r="H22" s="2">
        <v>108.9</v>
      </c>
      <c r="I22" s="2">
        <v>104.3</v>
      </c>
      <c r="J22" s="2">
        <v>111.7</v>
      </c>
      <c r="K22" s="2">
        <v>140</v>
      </c>
      <c r="L22" s="2">
        <v>106.4</v>
      </c>
      <c r="M22" s="2">
        <v>103.3</v>
      </c>
      <c r="N22" s="2">
        <v>106.8</v>
      </c>
      <c r="O22" s="2">
        <v>109.6</v>
      </c>
      <c r="P22" s="2">
        <v>112.6</v>
      </c>
      <c r="Q22" s="2">
        <v>114.7</v>
      </c>
      <c r="R22" s="2">
        <v>110.3</v>
      </c>
      <c r="S22" s="2">
        <v>110.2</v>
      </c>
      <c r="T22" s="2">
        <v>108.8</v>
      </c>
      <c r="U22" s="2">
        <v>110</v>
      </c>
      <c r="V22" s="2">
        <v>100.4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</row>
    <row r="23" spans="1:31" ht="15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114.3</v>
      </c>
      <c r="F23" s="2">
        <v>115.4</v>
      </c>
      <c r="G23" s="2">
        <v>111.1</v>
      </c>
      <c r="H23" s="2">
        <v>110</v>
      </c>
      <c r="I23" s="2">
        <v>106.4</v>
      </c>
      <c r="J23" s="2">
        <v>110.8</v>
      </c>
      <c r="K23" s="2">
        <v>138.9</v>
      </c>
      <c r="L23" s="2">
        <v>107.4</v>
      </c>
      <c r="M23" s="2">
        <v>104.1</v>
      </c>
      <c r="N23" s="2">
        <v>106.9</v>
      </c>
      <c r="O23" s="2">
        <v>109.7</v>
      </c>
      <c r="P23" s="2">
        <v>112.6</v>
      </c>
      <c r="Q23" s="2">
        <v>114.9</v>
      </c>
      <c r="R23" s="2">
        <v>110.7</v>
      </c>
      <c r="S23" s="2">
        <v>111.3</v>
      </c>
      <c r="T23" s="2">
        <v>110.2</v>
      </c>
      <c r="U23" s="2">
        <v>111.1</v>
      </c>
      <c r="V23" s="2">
        <f>VLOOKUP($A23,'Impute housing Missing Value'!$A$1:$C$125,3,0)</f>
        <v>108.9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</row>
    <row r="24" spans="1:31" ht="15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118.3</v>
      </c>
      <c r="F24" s="2">
        <v>120.4</v>
      </c>
      <c r="G24" s="2">
        <v>112.7</v>
      </c>
      <c r="H24" s="2">
        <v>108.9</v>
      </c>
      <c r="I24" s="2">
        <v>101.1</v>
      </c>
      <c r="J24" s="2">
        <v>108.7</v>
      </c>
      <c r="K24" s="2">
        <v>177</v>
      </c>
      <c r="L24" s="2">
        <v>104.7</v>
      </c>
      <c r="M24" s="2">
        <v>101</v>
      </c>
      <c r="N24" s="2">
        <v>108.5</v>
      </c>
      <c r="O24" s="2">
        <v>110.9</v>
      </c>
      <c r="P24" s="2">
        <v>114.3</v>
      </c>
      <c r="Q24" s="2">
        <v>119.6</v>
      </c>
      <c r="R24" s="2">
        <v>112.4</v>
      </c>
      <c r="S24" s="2">
        <v>110.6</v>
      </c>
      <c r="T24" s="2">
        <v>108.3</v>
      </c>
      <c r="U24" s="2">
        <v>110.2</v>
      </c>
      <c r="V24" s="2">
        <v>100.4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</row>
    <row r="25" spans="1:31" ht="26.5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115.6</v>
      </c>
      <c r="F25" s="2">
        <v>117.2</v>
      </c>
      <c r="G25" s="2">
        <v>111.7</v>
      </c>
      <c r="H25" s="2">
        <v>109.6</v>
      </c>
      <c r="I25" s="2">
        <v>104.5</v>
      </c>
      <c r="J25" s="2">
        <v>109.8</v>
      </c>
      <c r="K25" s="2">
        <v>151.80000000000001</v>
      </c>
      <c r="L25" s="2">
        <v>106.5</v>
      </c>
      <c r="M25" s="2">
        <v>103.1</v>
      </c>
      <c r="N25" s="2">
        <v>107.4</v>
      </c>
      <c r="O25" s="2">
        <v>110.2</v>
      </c>
      <c r="P25" s="2">
        <v>113.4</v>
      </c>
      <c r="Q25" s="2">
        <v>116.6</v>
      </c>
      <c r="R25" s="2">
        <v>111.2</v>
      </c>
      <c r="S25" s="2">
        <v>111</v>
      </c>
      <c r="T25" s="2">
        <v>109.4</v>
      </c>
      <c r="U25" s="2">
        <v>110.7</v>
      </c>
      <c r="V25" s="2">
        <v>100.4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</row>
    <row r="26" spans="1:31" ht="26.5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115.4</v>
      </c>
      <c r="F26" s="2">
        <v>115.7</v>
      </c>
      <c r="G26" s="2">
        <v>111.7</v>
      </c>
      <c r="H26" s="2">
        <v>111</v>
      </c>
      <c r="I26" s="2">
        <v>107.4</v>
      </c>
      <c r="J26" s="2">
        <v>110.9</v>
      </c>
      <c r="K26" s="2">
        <v>154</v>
      </c>
      <c r="L26" s="2">
        <v>108.1</v>
      </c>
      <c r="M26" s="2">
        <v>104.2</v>
      </c>
      <c r="N26" s="2">
        <v>107.9</v>
      </c>
      <c r="O26" s="2">
        <v>110.4</v>
      </c>
      <c r="P26" s="2">
        <v>114</v>
      </c>
      <c r="Q26" s="2">
        <v>117.8</v>
      </c>
      <c r="R26" s="2">
        <v>111.7</v>
      </c>
      <c r="S26" s="2">
        <v>112.7</v>
      </c>
      <c r="T26" s="2">
        <v>111.4</v>
      </c>
      <c r="U26" s="2">
        <v>112.5</v>
      </c>
      <c r="V26" s="2">
        <f>VLOOKUP($A26,'Impute housing Missing Value'!$A$1:$C$125,3,0)</f>
        <v>109.7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</row>
    <row r="27" spans="1:31" ht="26.5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118.6</v>
      </c>
      <c r="F27" s="2">
        <v>119.1</v>
      </c>
      <c r="G27" s="2">
        <v>113.2</v>
      </c>
      <c r="H27" s="2">
        <v>109.6</v>
      </c>
      <c r="I27" s="2">
        <v>101.7</v>
      </c>
      <c r="J27" s="2">
        <v>103.2</v>
      </c>
      <c r="K27" s="2">
        <v>174.3</v>
      </c>
      <c r="L27" s="2">
        <v>105.1</v>
      </c>
      <c r="M27" s="2">
        <v>100.8</v>
      </c>
      <c r="N27" s="2">
        <v>109.1</v>
      </c>
      <c r="O27" s="2">
        <v>111.1</v>
      </c>
      <c r="P27" s="2">
        <v>115.4</v>
      </c>
      <c r="Q27" s="2">
        <v>119.2</v>
      </c>
      <c r="R27" s="2">
        <v>112.9</v>
      </c>
      <c r="S27" s="2">
        <v>111.4</v>
      </c>
      <c r="T27" s="2">
        <v>109</v>
      </c>
      <c r="U27" s="2">
        <v>111.1</v>
      </c>
      <c r="V27" s="2">
        <v>100.4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</row>
    <row r="28" spans="1:31" ht="26.5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116.4</v>
      </c>
      <c r="F28" s="2">
        <v>116.9</v>
      </c>
      <c r="G28" s="2">
        <v>112.3</v>
      </c>
      <c r="H28" s="2">
        <v>110.5</v>
      </c>
      <c r="I28" s="2">
        <v>105.3</v>
      </c>
      <c r="J28" s="2">
        <v>107.3</v>
      </c>
      <c r="K28" s="2">
        <v>160.9</v>
      </c>
      <c r="L28" s="2">
        <v>107.1</v>
      </c>
      <c r="M28" s="2">
        <v>103.1</v>
      </c>
      <c r="N28" s="2">
        <v>108.3</v>
      </c>
      <c r="O28" s="2">
        <v>110.7</v>
      </c>
      <c r="P28" s="2">
        <v>114.6</v>
      </c>
      <c r="Q28" s="2">
        <v>118.3</v>
      </c>
      <c r="R28" s="2">
        <v>112</v>
      </c>
      <c r="S28" s="2">
        <v>112.2</v>
      </c>
      <c r="T28" s="2">
        <v>110.4</v>
      </c>
      <c r="U28" s="2">
        <v>111.9</v>
      </c>
      <c r="V28" s="2">
        <v>100.4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</row>
    <row r="29" spans="1:31" ht="15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116.3</v>
      </c>
      <c r="F29" s="2">
        <v>115.4</v>
      </c>
      <c r="G29" s="2">
        <v>112.6</v>
      </c>
      <c r="H29" s="2">
        <v>111.7</v>
      </c>
      <c r="I29" s="2">
        <v>107.7</v>
      </c>
      <c r="J29" s="2">
        <v>113.2</v>
      </c>
      <c r="K29" s="2">
        <v>164.9</v>
      </c>
      <c r="L29" s="2">
        <v>108.3</v>
      </c>
      <c r="M29" s="2">
        <v>103.9</v>
      </c>
      <c r="N29" s="2">
        <v>108.2</v>
      </c>
      <c r="O29" s="2">
        <v>111.1</v>
      </c>
      <c r="P29" s="2">
        <v>114.9</v>
      </c>
      <c r="Q29" s="2">
        <v>119.8</v>
      </c>
      <c r="R29" s="2">
        <v>112.2</v>
      </c>
      <c r="S29" s="2">
        <v>113.6</v>
      </c>
      <c r="T29" s="2">
        <v>112.3</v>
      </c>
      <c r="U29" s="2">
        <v>113.4</v>
      </c>
      <c r="V29" s="2">
        <f>VLOOKUP($A29,'Impute housing Missing Value'!$A$1:$C$125,3,0)</f>
        <v>110.5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</row>
    <row r="30" spans="1:31" ht="15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118.9</v>
      </c>
      <c r="F30" s="2">
        <v>118.1</v>
      </c>
      <c r="G30" s="2">
        <v>114.5</v>
      </c>
      <c r="H30" s="2">
        <v>110.4</v>
      </c>
      <c r="I30" s="2">
        <v>102.3</v>
      </c>
      <c r="J30" s="2">
        <v>106.2</v>
      </c>
      <c r="K30" s="2">
        <v>183.5</v>
      </c>
      <c r="L30" s="2">
        <v>105.3</v>
      </c>
      <c r="M30" s="2">
        <v>100.2</v>
      </c>
      <c r="N30" s="2">
        <v>109.6</v>
      </c>
      <c r="O30" s="2">
        <v>111.4</v>
      </c>
      <c r="P30" s="2">
        <v>116</v>
      </c>
      <c r="Q30" s="2">
        <v>120.8</v>
      </c>
      <c r="R30" s="2">
        <v>113.5</v>
      </c>
      <c r="S30" s="2">
        <v>112.5</v>
      </c>
      <c r="T30" s="2">
        <v>109.7</v>
      </c>
      <c r="U30" s="2">
        <v>112</v>
      </c>
      <c r="V30" s="2">
        <v>100.4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</row>
    <row r="31" spans="1:31" ht="26.5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117.1</v>
      </c>
      <c r="F31" s="2">
        <v>116.3</v>
      </c>
      <c r="G31" s="2">
        <v>113.3</v>
      </c>
      <c r="H31" s="2">
        <v>111.2</v>
      </c>
      <c r="I31" s="2">
        <v>105.7</v>
      </c>
      <c r="J31" s="2">
        <v>109.9</v>
      </c>
      <c r="K31" s="2">
        <v>171.2</v>
      </c>
      <c r="L31" s="2">
        <v>107.3</v>
      </c>
      <c r="M31" s="2">
        <v>102.7</v>
      </c>
      <c r="N31" s="2">
        <v>108.7</v>
      </c>
      <c r="O31" s="2">
        <v>111.2</v>
      </c>
      <c r="P31" s="2">
        <v>115.4</v>
      </c>
      <c r="Q31" s="2">
        <v>120.2</v>
      </c>
      <c r="R31" s="2">
        <v>112.5</v>
      </c>
      <c r="S31" s="2">
        <v>113.2</v>
      </c>
      <c r="T31" s="2">
        <v>111.2</v>
      </c>
      <c r="U31" s="2">
        <v>112.8</v>
      </c>
      <c r="V31" s="2">
        <v>100.4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</row>
    <row r="32" spans="1:31" ht="26.5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117.3</v>
      </c>
      <c r="F32" s="2">
        <v>114.9</v>
      </c>
      <c r="G32" s="2">
        <v>116.2</v>
      </c>
      <c r="H32" s="2">
        <v>112.8</v>
      </c>
      <c r="I32" s="2">
        <v>108.9</v>
      </c>
      <c r="J32" s="2">
        <v>116.6</v>
      </c>
      <c r="K32" s="2">
        <v>178.1</v>
      </c>
      <c r="L32" s="2">
        <v>109.1</v>
      </c>
      <c r="M32" s="2">
        <v>103.6</v>
      </c>
      <c r="N32" s="2">
        <v>109</v>
      </c>
      <c r="O32" s="2">
        <v>111.8</v>
      </c>
      <c r="P32" s="2">
        <v>116</v>
      </c>
      <c r="Q32" s="2">
        <v>122.5</v>
      </c>
      <c r="R32" s="2">
        <v>112.8</v>
      </c>
      <c r="S32" s="2">
        <v>114.6</v>
      </c>
      <c r="T32" s="2">
        <v>113.1</v>
      </c>
      <c r="U32" s="2">
        <v>114.4</v>
      </c>
      <c r="V32" s="2">
        <f>VLOOKUP($A32,'Impute housing Missing Value'!$A$1:$C$125,3,0)</f>
        <v>111.1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</row>
    <row r="33" spans="1:31" ht="26.5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119.8</v>
      </c>
      <c r="F33" s="2">
        <v>116.3</v>
      </c>
      <c r="G33" s="2">
        <v>122.6</v>
      </c>
      <c r="H33" s="2">
        <v>112</v>
      </c>
      <c r="I33" s="2">
        <v>103.2</v>
      </c>
      <c r="J33" s="2">
        <v>110</v>
      </c>
      <c r="K33" s="2">
        <v>192.8</v>
      </c>
      <c r="L33" s="2">
        <v>106.3</v>
      </c>
      <c r="M33" s="2">
        <v>99.5</v>
      </c>
      <c r="N33" s="2">
        <v>110.3</v>
      </c>
      <c r="O33" s="2">
        <v>111.8</v>
      </c>
      <c r="P33" s="2">
        <v>117.1</v>
      </c>
      <c r="Q33" s="2">
        <v>122.9</v>
      </c>
      <c r="R33" s="2">
        <v>114.1</v>
      </c>
      <c r="S33" s="2">
        <v>113.5</v>
      </c>
      <c r="T33" s="2">
        <v>110.3</v>
      </c>
      <c r="U33" s="2">
        <v>113</v>
      </c>
      <c r="V33" s="2">
        <v>100.4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</row>
    <row r="34" spans="1:31" ht="26.5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118.1</v>
      </c>
      <c r="F34" s="2">
        <v>115.4</v>
      </c>
      <c r="G34" s="2">
        <v>118.7</v>
      </c>
      <c r="H34" s="2">
        <v>112.5</v>
      </c>
      <c r="I34" s="2">
        <v>106.8</v>
      </c>
      <c r="J34" s="2">
        <v>113.5</v>
      </c>
      <c r="K34" s="2">
        <v>183.1</v>
      </c>
      <c r="L34" s="2">
        <v>108.2</v>
      </c>
      <c r="M34" s="2">
        <v>102.2</v>
      </c>
      <c r="N34" s="2">
        <v>109.4</v>
      </c>
      <c r="O34" s="2">
        <v>111.8</v>
      </c>
      <c r="P34" s="2">
        <v>116.5</v>
      </c>
      <c r="Q34" s="2">
        <v>122.6</v>
      </c>
      <c r="R34" s="2">
        <v>113.1</v>
      </c>
      <c r="S34" s="2">
        <v>114.2</v>
      </c>
      <c r="T34" s="2">
        <v>111.9</v>
      </c>
      <c r="U34" s="2">
        <v>113.8</v>
      </c>
      <c r="V34" s="2">
        <v>100.4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</row>
    <row r="35" spans="1:31" ht="26.5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118.4</v>
      </c>
      <c r="F35" s="2">
        <v>115.9</v>
      </c>
      <c r="G35" s="2">
        <v>120.4</v>
      </c>
      <c r="H35" s="2">
        <v>113.8</v>
      </c>
      <c r="I35" s="2">
        <v>109.5</v>
      </c>
      <c r="J35" s="2">
        <v>115.5</v>
      </c>
      <c r="K35" s="2">
        <v>145.69999999999999</v>
      </c>
      <c r="L35" s="2">
        <v>109.5</v>
      </c>
      <c r="M35" s="2">
        <v>102.9</v>
      </c>
      <c r="N35" s="2">
        <v>109.8</v>
      </c>
      <c r="O35" s="2">
        <v>112.1</v>
      </c>
      <c r="P35" s="2">
        <v>116.8</v>
      </c>
      <c r="Q35" s="2">
        <v>118.7</v>
      </c>
      <c r="R35" s="2">
        <v>113.6</v>
      </c>
      <c r="S35" s="2">
        <v>115.8</v>
      </c>
      <c r="T35" s="2">
        <v>114</v>
      </c>
      <c r="U35" s="2">
        <v>115.5</v>
      </c>
      <c r="V35" s="2">
        <f>VLOOKUP($A35,'Impute housing Missing Value'!$A$1:$C$125,3,0)</f>
        <v>110.7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</row>
    <row r="36" spans="1:31" ht="26.5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120.5</v>
      </c>
      <c r="F36" s="2">
        <v>118.1</v>
      </c>
      <c r="G36" s="2">
        <v>128.5</v>
      </c>
      <c r="H36" s="2">
        <v>112.8</v>
      </c>
      <c r="I36" s="2">
        <v>103.4</v>
      </c>
      <c r="J36" s="2">
        <v>110.7</v>
      </c>
      <c r="K36" s="2">
        <v>144.80000000000001</v>
      </c>
      <c r="L36" s="2">
        <v>107.1</v>
      </c>
      <c r="M36" s="2">
        <v>98.6</v>
      </c>
      <c r="N36" s="2">
        <v>111.9</v>
      </c>
      <c r="O36" s="2">
        <v>112.1</v>
      </c>
      <c r="P36" s="2">
        <v>118.1</v>
      </c>
      <c r="Q36" s="2">
        <v>117.8</v>
      </c>
      <c r="R36" s="2">
        <v>115</v>
      </c>
      <c r="S36" s="2">
        <v>114.2</v>
      </c>
      <c r="T36" s="2">
        <v>110.9</v>
      </c>
      <c r="U36" s="2">
        <v>113.7</v>
      </c>
      <c r="V36" s="2">
        <v>100.4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</row>
    <row r="37" spans="1:31" ht="26.5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119.1</v>
      </c>
      <c r="F37" s="2">
        <v>116.7</v>
      </c>
      <c r="G37" s="2">
        <v>123.5</v>
      </c>
      <c r="H37" s="2">
        <v>113.4</v>
      </c>
      <c r="I37" s="2">
        <v>107.3</v>
      </c>
      <c r="J37" s="2">
        <v>113.3</v>
      </c>
      <c r="K37" s="2">
        <v>145.4</v>
      </c>
      <c r="L37" s="2">
        <v>108.7</v>
      </c>
      <c r="M37" s="2">
        <v>101.5</v>
      </c>
      <c r="N37" s="2">
        <v>110.5</v>
      </c>
      <c r="O37" s="2">
        <v>112.1</v>
      </c>
      <c r="P37" s="2">
        <v>117.4</v>
      </c>
      <c r="Q37" s="2">
        <v>118.4</v>
      </c>
      <c r="R37" s="2">
        <v>114</v>
      </c>
      <c r="S37" s="2">
        <v>115.2</v>
      </c>
      <c r="T37" s="2">
        <v>112.7</v>
      </c>
      <c r="U37" s="2">
        <v>114.8</v>
      </c>
      <c r="V37" s="2">
        <v>100.4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</row>
    <row r="38" spans="1:31" ht="15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118.9</v>
      </c>
      <c r="F38" s="2">
        <v>117.1</v>
      </c>
      <c r="G38" s="2">
        <v>120.5</v>
      </c>
      <c r="H38" s="2">
        <v>114.4</v>
      </c>
      <c r="I38" s="2">
        <v>109</v>
      </c>
      <c r="J38" s="2">
        <v>115.5</v>
      </c>
      <c r="K38" s="2">
        <v>123.9</v>
      </c>
      <c r="L38" s="2">
        <v>109.6</v>
      </c>
      <c r="M38" s="2">
        <v>101.8</v>
      </c>
      <c r="N38" s="2">
        <v>110.2</v>
      </c>
      <c r="O38" s="2">
        <v>112.4</v>
      </c>
      <c r="P38" s="2">
        <v>117.3</v>
      </c>
      <c r="Q38" s="2">
        <v>116</v>
      </c>
      <c r="R38" s="2">
        <v>114</v>
      </c>
      <c r="S38" s="2">
        <v>116.5</v>
      </c>
      <c r="T38" s="2">
        <v>114.5</v>
      </c>
      <c r="U38" s="2">
        <v>116.2</v>
      </c>
      <c r="V38" s="2">
        <f>VLOOKUP($A38,'Impute housing Missing Value'!$A$1:$C$125,3,0)</f>
        <v>111.6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</row>
    <row r="39" spans="1:31" ht="15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121.2</v>
      </c>
      <c r="F39" s="2">
        <v>122</v>
      </c>
      <c r="G39" s="2">
        <v>129.9</v>
      </c>
      <c r="H39" s="2">
        <v>113.6</v>
      </c>
      <c r="I39" s="2">
        <v>102.9</v>
      </c>
      <c r="J39" s="2">
        <v>112.1</v>
      </c>
      <c r="K39" s="2">
        <v>118.9</v>
      </c>
      <c r="L39" s="2">
        <v>107.5</v>
      </c>
      <c r="M39" s="2">
        <v>96.9</v>
      </c>
      <c r="N39" s="2">
        <v>112.7</v>
      </c>
      <c r="O39" s="2">
        <v>112.1</v>
      </c>
      <c r="P39" s="2">
        <v>119</v>
      </c>
      <c r="Q39" s="2">
        <v>115.5</v>
      </c>
      <c r="R39" s="2">
        <v>115.7</v>
      </c>
      <c r="S39" s="2">
        <v>114.8</v>
      </c>
      <c r="T39" s="2">
        <v>111.3</v>
      </c>
      <c r="U39" s="2">
        <v>114.3</v>
      </c>
      <c r="V39" s="2">
        <v>100.4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</row>
    <row r="40" spans="1:31" ht="26.5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119.6</v>
      </c>
      <c r="F40" s="2">
        <v>118.8</v>
      </c>
      <c r="G40" s="2">
        <v>124.1</v>
      </c>
      <c r="H40" s="2">
        <v>114.1</v>
      </c>
      <c r="I40" s="2">
        <v>106.8</v>
      </c>
      <c r="J40" s="2">
        <v>113.9</v>
      </c>
      <c r="K40" s="2">
        <v>122.2</v>
      </c>
      <c r="L40" s="2">
        <v>108.9</v>
      </c>
      <c r="M40" s="2">
        <v>100.2</v>
      </c>
      <c r="N40" s="2">
        <v>111</v>
      </c>
      <c r="O40" s="2">
        <v>112.3</v>
      </c>
      <c r="P40" s="2">
        <v>118.1</v>
      </c>
      <c r="Q40" s="2">
        <v>115.8</v>
      </c>
      <c r="R40" s="2">
        <v>114.5</v>
      </c>
      <c r="S40" s="2">
        <v>115.8</v>
      </c>
      <c r="T40" s="2">
        <v>113.2</v>
      </c>
      <c r="U40" s="2">
        <v>115.4</v>
      </c>
      <c r="V40" s="2">
        <v>100.4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</row>
    <row r="41" spans="1:31" ht="15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119.4</v>
      </c>
      <c r="F41" s="2">
        <v>117.7</v>
      </c>
      <c r="G41" s="2">
        <v>121.2</v>
      </c>
      <c r="H41" s="2">
        <v>115</v>
      </c>
      <c r="I41" s="2">
        <v>109</v>
      </c>
      <c r="J41" s="2">
        <v>116.6</v>
      </c>
      <c r="K41" s="2">
        <v>116</v>
      </c>
      <c r="L41" s="2">
        <v>109.8</v>
      </c>
      <c r="M41" s="2">
        <v>101.1</v>
      </c>
      <c r="N41" s="2">
        <v>110.4</v>
      </c>
      <c r="O41" s="2">
        <v>112.9</v>
      </c>
      <c r="P41" s="2">
        <v>117.8</v>
      </c>
      <c r="Q41" s="2">
        <v>115.3</v>
      </c>
      <c r="R41" s="2">
        <v>114.2</v>
      </c>
      <c r="S41" s="2">
        <v>117.1</v>
      </c>
      <c r="T41" s="2">
        <v>114.5</v>
      </c>
      <c r="U41" s="2">
        <v>116.7</v>
      </c>
      <c r="V41" s="2">
        <f>VLOOKUP($A41,'Impute housing Missing Value'!$A$1:$C$125,3,0)</f>
        <v>112.5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</row>
    <row r="42" spans="1:31" ht="15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121.9</v>
      </c>
      <c r="F42" s="2">
        <v>122</v>
      </c>
      <c r="G42" s="2">
        <v>124.5</v>
      </c>
      <c r="H42" s="2">
        <v>115.2</v>
      </c>
      <c r="I42" s="2">
        <v>102.5</v>
      </c>
      <c r="J42" s="2">
        <v>114.1</v>
      </c>
      <c r="K42" s="2">
        <v>111.5</v>
      </c>
      <c r="L42" s="2">
        <v>108.2</v>
      </c>
      <c r="M42" s="2">
        <v>95.4</v>
      </c>
      <c r="N42" s="2">
        <v>113.5</v>
      </c>
      <c r="O42" s="2">
        <v>112.1</v>
      </c>
      <c r="P42" s="2">
        <v>119.9</v>
      </c>
      <c r="Q42" s="2">
        <v>115.2</v>
      </c>
      <c r="R42" s="2">
        <v>116.2</v>
      </c>
      <c r="S42" s="2">
        <v>115.3</v>
      </c>
      <c r="T42" s="2">
        <v>111.7</v>
      </c>
      <c r="U42" s="2">
        <v>114.7</v>
      </c>
      <c r="V42" s="2">
        <v>100.4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</row>
    <row r="43" spans="1:31" ht="26.5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120.2</v>
      </c>
      <c r="F43" s="2">
        <v>119.2</v>
      </c>
      <c r="G43" s="2">
        <v>122.5</v>
      </c>
      <c r="H43" s="2">
        <v>115.1</v>
      </c>
      <c r="I43" s="2">
        <v>106.6</v>
      </c>
      <c r="J43" s="2">
        <v>115.4</v>
      </c>
      <c r="K43" s="2">
        <v>114.5</v>
      </c>
      <c r="L43" s="2">
        <v>109.3</v>
      </c>
      <c r="M43" s="2">
        <v>99.2</v>
      </c>
      <c r="N43" s="2">
        <v>111.4</v>
      </c>
      <c r="O43" s="2">
        <v>112.6</v>
      </c>
      <c r="P43" s="2">
        <v>118.8</v>
      </c>
      <c r="Q43" s="2">
        <v>115.3</v>
      </c>
      <c r="R43" s="2">
        <v>114.7</v>
      </c>
      <c r="S43" s="2">
        <v>116.4</v>
      </c>
      <c r="T43" s="2">
        <v>113.3</v>
      </c>
      <c r="U43" s="2">
        <v>115.9</v>
      </c>
      <c r="V43" s="2">
        <v>100.4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</row>
    <row r="44" spans="1:31" ht="15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120.1</v>
      </c>
      <c r="F44" s="2">
        <v>118.1</v>
      </c>
      <c r="G44" s="2">
        <v>120.7</v>
      </c>
      <c r="H44" s="2">
        <v>116.1</v>
      </c>
      <c r="I44" s="2">
        <v>109.3</v>
      </c>
      <c r="J44" s="2">
        <v>119.6</v>
      </c>
      <c r="K44" s="2">
        <v>117.9</v>
      </c>
      <c r="L44" s="2">
        <v>110.2</v>
      </c>
      <c r="M44" s="2">
        <v>101.2</v>
      </c>
      <c r="N44" s="2">
        <v>110.7</v>
      </c>
      <c r="O44" s="2">
        <v>113</v>
      </c>
      <c r="P44" s="2">
        <v>118.3</v>
      </c>
      <c r="Q44" s="2">
        <v>116.2</v>
      </c>
      <c r="R44" s="2">
        <v>114.6</v>
      </c>
      <c r="S44" s="2">
        <v>117.5</v>
      </c>
      <c r="T44" s="2">
        <v>114.9</v>
      </c>
      <c r="U44" s="2">
        <v>117.2</v>
      </c>
      <c r="V44" s="2">
        <f>VLOOKUP($A44,'Impute housing Missing Value'!$A$1:$C$125,3,0)</f>
        <v>113.2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</row>
    <row r="45" spans="1:31" ht="15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122.1</v>
      </c>
      <c r="F45" s="2">
        <v>121.4</v>
      </c>
      <c r="G45" s="2">
        <v>121.5</v>
      </c>
      <c r="H45" s="2">
        <v>116.2</v>
      </c>
      <c r="I45" s="2">
        <v>102.8</v>
      </c>
      <c r="J45" s="2">
        <v>117.7</v>
      </c>
      <c r="K45" s="2">
        <v>113.3</v>
      </c>
      <c r="L45" s="2">
        <v>108.9</v>
      </c>
      <c r="M45" s="2">
        <v>96.3</v>
      </c>
      <c r="N45" s="2">
        <v>114.1</v>
      </c>
      <c r="O45" s="2">
        <v>112.2</v>
      </c>
      <c r="P45" s="2">
        <v>120.5</v>
      </c>
      <c r="Q45" s="2">
        <v>116</v>
      </c>
      <c r="R45" s="2">
        <v>116.7</v>
      </c>
      <c r="S45" s="2">
        <v>115.8</v>
      </c>
      <c r="T45" s="2">
        <v>112.1</v>
      </c>
      <c r="U45" s="2">
        <v>115.2</v>
      </c>
      <c r="V45" s="2">
        <v>100.4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</row>
    <row r="46" spans="1:31" ht="26.5" thickBot="1" x14ac:dyDescent="0.4">
      <c r="A46">
        <v>45</v>
      </c>
      <c r="B46" s="1" t="s">
        <v>34</v>
      </c>
      <c r="C46" s="2">
        <v>2014</v>
      </c>
      <c r="D46" s="1" t="s">
        <v>46</v>
      </c>
      <c r="E46" s="2">
        <v>120.7</v>
      </c>
      <c r="F46" s="2">
        <v>119.3</v>
      </c>
      <c r="G46" s="2">
        <v>121</v>
      </c>
      <c r="H46" s="2">
        <v>116.1</v>
      </c>
      <c r="I46" s="2">
        <v>106.9</v>
      </c>
      <c r="J46" s="2">
        <v>118.7</v>
      </c>
      <c r="K46" s="2">
        <v>116.3</v>
      </c>
      <c r="L46" s="2">
        <v>109.8</v>
      </c>
      <c r="M46" s="2">
        <v>99.6</v>
      </c>
      <c r="N46" s="2">
        <v>111.8</v>
      </c>
      <c r="O46" s="2">
        <v>112.7</v>
      </c>
      <c r="P46" s="2">
        <v>119.3</v>
      </c>
      <c r="Q46" s="2">
        <v>116.1</v>
      </c>
      <c r="R46" s="2">
        <v>115.2</v>
      </c>
      <c r="S46" s="2">
        <v>116.8</v>
      </c>
      <c r="T46" s="2">
        <v>113.7</v>
      </c>
      <c r="U46" s="2">
        <v>116.4</v>
      </c>
      <c r="V46" s="2">
        <v>100.4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</row>
    <row r="47" spans="1:31" ht="15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120.2</v>
      </c>
      <c r="F47" s="2">
        <v>118.9</v>
      </c>
      <c r="G47" s="2">
        <v>118.1</v>
      </c>
      <c r="H47" s="2">
        <v>117</v>
      </c>
      <c r="I47" s="2">
        <v>109.7</v>
      </c>
      <c r="J47" s="2">
        <v>125.5</v>
      </c>
      <c r="K47" s="2">
        <v>120.5</v>
      </c>
      <c r="L47" s="2">
        <v>111</v>
      </c>
      <c r="M47" s="2">
        <v>102.6</v>
      </c>
      <c r="N47" s="2">
        <v>111.2</v>
      </c>
      <c r="O47" s="2">
        <v>113.5</v>
      </c>
      <c r="P47" s="2">
        <v>118.7</v>
      </c>
      <c r="Q47" s="2">
        <v>117.2</v>
      </c>
      <c r="R47" s="2">
        <v>115.4</v>
      </c>
      <c r="S47" s="2">
        <v>118.1</v>
      </c>
      <c r="T47" s="2">
        <v>116.1</v>
      </c>
      <c r="U47" s="2">
        <v>117.8</v>
      </c>
      <c r="V47" s="2">
        <f>VLOOKUP($A47,'Impute housing Missing Value'!$A$1:$C$125,3,0)</f>
        <v>113.9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</row>
    <row r="48" spans="1:31" ht="15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122.5</v>
      </c>
      <c r="F48" s="2">
        <v>121.7</v>
      </c>
      <c r="G48" s="2">
        <v>113.3</v>
      </c>
      <c r="H48" s="2">
        <v>117</v>
      </c>
      <c r="I48" s="2">
        <v>103.1</v>
      </c>
      <c r="J48" s="2">
        <v>126.7</v>
      </c>
      <c r="K48" s="2">
        <v>121.2</v>
      </c>
      <c r="L48" s="2">
        <v>111</v>
      </c>
      <c r="M48" s="2">
        <v>100.3</v>
      </c>
      <c r="N48" s="2">
        <v>115.3</v>
      </c>
      <c r="O48" s="2">
        <v>112.7</v>
      </c>
      <c r="P48" s="2">
        <v>121</v>
      </c>
      <c r="Q48" s="2">
        <v>118.2</v>
      </c>
      <c r="R48" s="2">
        <v>117.6</v>
      </c>
      <c r="S48" s="2">
        <v>116.3</v>
      </c>
      <c r="T48" s="2">
        <v>112.5</v>
      </c>
      <c r="U48" s="2">
        <v>115.7</v>
      </c>
      <c r="V48" s="2">
        <v>100.4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</row>
    <row r="49" spans="1:31" ht="26.5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120.9</v>
      </c>
      <c r="F49" s="2">
        <v>119.9</v>
      </c>
      <c r="G49" s="2">
        <v>116.2</v>
      </c>
      <c r="H49" s="2">
        <v>117</v>
      </c>
      <c r="I49" s="2">
        <v>107.3</v>
      </c>
      <c r="J49" s="2">
        <v>126.1</v>
      </c>
      <c r="K49" s="2">
        <v>120.7</v>
      </c>
      <c r="L49" s="2">
        <v>111</v>
      </c>
      <c r="M49" s="2">
        <v>101.8</v>
      </c>
      <c r="N49" s="2">
        <v>112.6</v>
      </c>
      <c r="O49" s="2">
        <v>113.2</v>
      </c>
      <c r="P49" s="2">
        <v>119.8</v>
      </c>
      <c r="Q49" s="2">
        <v>117.6</v>
      </c>
      <c r="R49" s="2">
        <v>116</v>
      </c>
      <c r="S49" s="2">
        <v>117.4</v>
      </c>
      <c r="T49" s="2">
        <v>114.6</v>
      </c>
      <c r="U49" s="2">
        <v>117</v>
      </c>
      <c r="V49" s="2">
        <v>100.4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</row>
    <row r="50" spans="1:31" ht="15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120.3</v>
      </c>
      <c r="F50" s="2">
        <v>120.2</v>
      </c>
      <c r="G50" s="2">
        <v>116.9</v>
      </c>
      <c r="H50" s="2">
        <v>118</v>
      </c>
      <c r="I50" s="2">
        <v>110.1</v>
      </c>
      <c r="J50" s="2">
        <v>126.3</v>
      </c>
      <c r="K50" s="2">
        <v>123.9</v>
      </c>
      <c r="L50" s="2">
        <v>111.5</v>
      </c>
      <c r="M50" s="2">
        <v>103.5</v>
      </c>
      <c r="N50" s="2">
        <v>111.6</v>
      </c>
      <c r="O50" s="2">
        <v>114.2</v>
      </c>
      <c r="P50" s="2">
        <v>119.2</v>
      </c>
      <c r="Q50" s="2">
        <v>118.2</v>
      </c>
      <c r="R50" s="2">
        <v>116.3</v>
      </c>
      <c r="S50" s="2">
        <v>118.7</v>
      </c>
      <c r="T50" s="2">
        <v>116.8</v>
      </c>
      <c r="U50" s="2">
        <v>118.5</v>
      </c>
      <c r="V50" s="2">
        <f>VLOOKUP($A50,'Impute housing Missing Value'!$A$1:$C$125,3,0)</f>
        <v>114.3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</row>
    <row r="51" spans="1:31" ht="15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122.7</v>
      </c>
      <c r="F51" s="2">
        <v>124.1</v>
      </c>
      <c r="G51" s="2">
        <v>114.2</v>
      </c>
      <c r="H51" s="2">
        <v>119.1</v>
      </c>
      <c r="I51" s="2">
        <v>103.5</v>
      </c>
      <c r="J51" s="2">
        <v>129.19999999999999</v>
      </c>
      <c r="K51" s="2">
        <v>127</v>
      </c>
      <c r="L51" s="2">
        <v>112.6</v>
      </c>
      <c r="M51" s="2">
        <v>101.3</v>
      </c>
      <c r="N51" s="2">
        <v>117</v>
      </c>
      <c r="O51" s="2">
        <v>112.9</v>
      </c>
      <c r="P51" s="2">
        <v>121.7</v>
      </c>
      <c r="Q51" s="2">
        <v>120</v>
      </c>
      <c r="R51" s="2">
        <v>118.3</v>
      </c>
      <c r="S51" s="2">
        <v>116.8</v>
      </c>
      <c r="T51" s="2">
        <v>112.9</v>
      </c>
      <c r="U51" s="2">
        <v>116.2</v>
      </c>
      <c r="V51" s="2">
        <v>100.4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</row>
    <row r="52" spans="1:31" ht="26.5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121.1</v>
      </c>
      <c r="F52" s="2">
        <v>121.6</v>
      </c>
      <c r="G52" s="2">
        <v>115.9</v>
      </c>
      <c r="H52" s="2">
        <v>118.4</v>
      </c>
      <c r="I52" s="2">
        <v>107.7</v>
      </c>
      <c r="J52" s="2">
        <v>127.7</v>
      </c>
      <c r="K52" s="2">
        <v>125</v>
      </c>
      <c r="L52" s="2">
        <v>111.9</v>
      </c>
      <c r="M52" s="2">
        <v>102.8</v>
      </c>
      <c r="N52" s="2">
        <v>113.4</v>
      </c>
      <c r="O52" s="2">
        <v>113.7</v>
      </c>
      <c r="P52" s="2">
        <v>120.4</v>
      </c>
      <c r="Q52" s="2">
        <v>118.9</v>
      </c>
      <c r="R52" s="2">
        <v>116.8</v>
      </c>
      <c r="S52" s="2">
        <v>118</v>
      </c>
      <c r="T52" s="2">
        <v>115.2</v>
      </c>
      <c r="U52" s="2">
        <v>117.6</v>
      </c>
      <c r="V52" s="2">
        <v>100.4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</row>
    <row r="53" spans="1:31" ht="15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120.7</v>
      </c>
      <c r="F53" s="2">
        <v>121.6</v>
      </c>
      <c r="G53" s="2">
        <v>116.1</v>
      </c>
      <c r="H53" s="2">
        <v>119.3</v>
      </c>
      <c r="I53" s="2">
        <v>110.3</v>
      </c>
      <c r="J53" s="2">
        <v>125.8</v>
      </c>
      <c r="K53" s="2">
        <v>129.30000000000001</v>
      </c>
      <c r="L53" s="2">
        <v>112.2</v>
      </c>
      <c r="M53" s="2">
        <v>103.6</v>
      </c>
      <c r="N53" s="2">
        <v>112.3</v>
      </c>
      <c r="O53" s="2">
        <v>114.9</v>
      </c>
      <c r="P53" s="2">
        <v>120.1</v>
      </c>
      <c r="Q53" s="2">
        <v>119.5</v>
      </c>
      <c r="R53" s="2">
        <v>117.3</v>
      </c>
      <c r="S53" s="2">
        <v>119.7</v>
      </c>
      <c r="T53" s="2">
        <v>117.3</v>
      </c>
      <c r="U53" s="2">
        <v>119.3</v>
      </c>
      <c r="V53" s="2">
        <f>VLOOKUP($A53,'Impute housing Missing Value'!$A$1:$C$125,3,0)</f>
        <v>113.9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</row>
    <row r="54" spans="1:31" ht="15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123.1</v>
      </c>
      <c r="F54" s="2">
        <v>125.9</v>
      </c>
      <c r="G54" s="2">
        <v>115.4</v>
      </c>
      <c r="H54" s="2">
        <v>120.4</v>
      </c>
      <c r="I54" s="2">
        <v>103.4</v>
      </c>
      <c r="J54" s="2">
        <v>131.19999999999999</v>
      </c>
      <c r="K54" s="2">
        <v>137.5</v>
      </c>
      <c r="L54" s="2">
        <v>112.8</v>
      </c>
      <c r="M54" s="2">
        <v>101.4</v>
      </c>
      <c r="N54" s="2">
        <v>118.3</v>
      </c>
      <c r="O54" s="2">
        <v>113.2</v>
      </c>
      <c r="P54" s="2">
        <v>122.4</v>
      </c>
      <c r="Q54" s="2">
        <v>122</v>
      </c>
      <c r="R54" s="2">
        <v>119</v>
      </c>
      <c r="S54" s="2">
        <v>117.4</v>
      </c>
      <c r="T54" s="2">
        <v>113.2</v>
      </c>
      <c r="U54" s="2">
        <v>116.7</v>
      </c>
      <c r="V54" s="2">
        <v>100.4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</row>
    <row r="55" spans="1:31" ht="26.5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121.5</v>
      </c>
      <c r="F55" s="2">
        <v>123.1</v>
      </c>
      <c r="G55" s="2">
        <v>115.8</v>
      </c>
      <c r="H55" s="2">
        <v>119.7</v>
      </c>
      <c r="I55" s="2">
        <v>107.8</v>
      </c>
      <c r="J55" s="2">
        <v>128.30000000000001</v>
      </c>
      <c r="K55" s="2">
        <v>132.1</v>
      </c>
      <c r="L55" s="2">
        <v>112.4</v>
      </c>
      <c r="M55" s="2">
        <v>102.9</v>
      </c>
      <c r="N55" s="2">
        <v>114.3</v>
      </c>
      <c r="O55" s="2">
        <v>114.2</v>
      </c>
      <c r="P55" s="2">
        <v>121.2</v>
      </c>
      <c r="Q55" s="2">
        <v>120.4</v>
      </c>
      <c r="R55" s="2">
        <v>117.8</v>
      </c>
      <c r="S55" s="2">
        <v>118.8</v>
      </c>
      <c r="T55" s="2">
        <v>115.6</v>
      </c>
      <c r="U55" s="2">
        <v>118.3</v>
      </c>
      <c r="V55" s="2">
        <v>100.4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</row>
    <row r="56" spans="1:31" ht="15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121.7</v>
      </c>
      <c r="F56" s="2">
        <v>122.5</v>
      </c>
      <c r="G56" s="2">
        <v>117.7</v>
      </c>
      <c r="H56" s="2">
        <v>120.6</v>
      </c>
      <c r="I56" s="2">
        <v>110.4</v>
      </c>
      <c r="J56" s="2">
        <v>129.1</v>
      </c>
      <c r="K56" s="2">
        <v>150.1</v>
      </c>
      <c r="L56" s="2">
        <v>113.2</v>
      </c>
      <c r="M56" s="2">
        <v>104.8</v>
      </c>
      <c r="N56" s="2">
        <v>113.3</v>
      </c>
      <c r="O56" s="2">
        <v>115.6</v>
      </c>
      <c r="P56" s="2">
        <v>120.9</v>
      </c>
      <c r="Q56" s="2">
        <v>123.3</v>
      </c>
      <c r="R56" s="2">
        <v>118</v>
      </c>
      <c r="S56" s="2">
        <v>120.7</v>
      </c>
      <c r="T56" s="2">
        <v>118.3</v>
      </c>
      <c r="U56" s="2">
        <v>120.3</v>
      </c>
      <c r="V56" s="2">
        <f>VLOOKUP($A56,'Impute housing Missing Value'!$A$1:$C$125,3,0)</f>
        <v>114.8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</row>
    <row r="57" spans="1:31" ht="15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123.8</v>
      </c>
      <c r="F57" s="2">
        <v>126.4</v>
      </c>
      <c r="G57" s="2">
        <v>118</v>
      </c>
      <c r="H57" s="2">
        <v>121.6</v>
      </c>
      <c r="I57" s="2">
        <v>103.5</v>
      </c>
      <c r="J57" s="2">
        <v>133.69999999999999</v>
      </c>
      <c r="K57" s="2">
        <v>172.4</v>
      </c>
      <c r="L57" s="2">
        <v>113.1</v>
      </c>
      <c r="M57" s="2">
        <v>102.7</v>
      </c>
      <c r="N57" s="2">
        <v>120</v>
      </c>
      <c r="O57" s="2">
        <v>113.8</v>
      </c>
      <c r="P57" s="2">
        <v>123.4</v>
      </c>
      <c r="Q57" s="2">
        <v>127.1</v>
      </c>
      <c r="R57" s="2">
        <v>121</v>
      </c>
      <c r="S57" s="2">
        <v>118</v>
      </c>
      <c r="T57" s="2">
        <v>113.6</v>
      </c>
      <c r="U57" s="2">
        <v>117.4</v>
      </c>
      <c r="V57" s="2">
        <v>100.4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</row>
    <row r="58" spans="1:31" ht="26.5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122.4</v>
      </c>
      <c r="F58" s="2">
        <v>123.9</v>
      </c>
      <c r="G58" s="2">
        <v>117.8</v>
      </c>
      <c r="H58" s="2">
        <v>121</v>
      </c>
      <c r="I58" s="2">
        <v>107.9</v>
      </c>
      <c r="J58" s="2">
        <v>131.19999999999999</v>
      </c>
      <c r="K58" s="2">
        <v>157.69999999999999</v>
      </c>
      <c r="L58" s="2">
        <v>113.2</v>
      </c>
      <c r="M58" s="2">
        <v>104.1</v>
      </c>
      <c r="N58" s="2">
        <v>115.5</v>
      </c>
      <c r="O58" s="2">
        <v>114.8</v>
      </c>
      <c r="P58" s="2">
        <v>122.1</v>
      </c>
      <c r="Q58" s="2">
        <v>124.7</v>
      </c>
      <c r="R58" s="2">
        <v>118.8</v>
      </c>
      <c r="S58" s="2">
        <v>119.6</v>
      </c>
      <c r="T58" s="2">
        <v>116.3</v>
      </c>
      <c r="U58" s="2">
        <v>119.1</v>
      </c>
      <c r="V58" s="2">
        <v>100.4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</row>
    <row r="59" spans="1:31" ht="15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121.8</v>
      </c>
      <c r="F59" s="2">
        <v>122.8</v>
      </c>
      <c r="G59" s="2">
        <v>117.8</v>
      </c>
      <c r="H59" s="2">
        <v>121.9</v>
      </c>
      <c r="I59" s="2">
        <v>110.6</v>
      </c>
      <c r="J59" s="2">
        <v>129.69999999999999</v>
      </c>
      <c r="K59" s="2">
        <v>161.1</v>
      </c>
      <c r="L59" s="2">
        <v>114.1</v>
      </c>
      <c r="M59" s="2">
        <v>105.1</v>
      </c>
      <c r="N59" s="2">
        <v>114.6</v>
      </c>
      <c r="O59" s="2">
        <v>115.8</v>
      </c>
      <c r="P59" s="2">
        <v>121.7</v>
      </c>
      <c r="Q59" s="2">
        <v>125.3</v>
      </c>
      <c r="R59" s="2">
        <v>118.8</v>
      </c>
      <c r="S59" s="2">
        <v>120.9</v>
      </c>
      <c r="T59" s="2">
        <v>118.8</v>
      </c>
      <c r="U59" s="2">
        <v>120.7</v>
      </c>
      <c r="V59" s="2">
        <f>VLOOKUP($A59,'Impute housing Missing Value'!$A$1:$C$125,3,0)</f>
        <v>115.5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</row>
    <row r="60" spans="1:31" ht="15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124.8</v>
      </c>
      <c r="F60" s="2">
        <v>127.3</v>
      </c>
      <c r="G60" s="2">
        <v>116.5</v>
      </c>
      <c r="H60" s="2">
        <v>122.2</v>
      </c>
      <c r="I60" s="2">
        <v>103.6</v>
      </c>
      <c r="J60" s="2">
        <v>132.69999999999999</v>
      </c>
      <c r="K60" s="2">
        <v>181.9</v>
      </c>
      <c r="L60" s="2">
        <v>115.2</v>
      </c>
      <c r="M60" s="2">
        <v>102.7</v>
      </c>
      <c r="N60" s="2">
        <v>122.1</v>
      </c>
      <c r="O60" s="2">
        <v>114.4</v>
      </c>
      <c r="P60" s="2">
        <v>124.7</v>
      </c>
      <c r="Q60" s="2">
        <v>128.9</v>
      </c>
      <c r="R60" s="2">
        <v>123</v>
      </c>
      <c r="S60" s="2">
        <v>118.6</v>
      </c>
      <c r="T60" s="2">
        <v>114.1</v>
      </c>
      <c r="U60" s="2">
        <v>117.9</v>
      </c>
      <c r="V60" s="2">
        <v>100.4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</row>
    <row r="61" spans="1:31" ht="26.5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122.7</v>
      </c>
      <c r="F61" s="2">
        <v>124.4</v>
      </c>
      <c r="G61" s="2">
        <v>117.3</v>
      </c>
      <c r="H61" s="2">
        <v>122</v>
      </c>
      <c r="I61" s="2">
        <v>108</v>
      </c>
      <c r="J61" s="2">
        <v>131.1</v>
      </c>
      <c r="K61" s="2">
        <v>168.2</v>
      </c>
      <c r="L61" s="2">
        <v>114.5</v>
      </c>
      <c r="M61" s="2">
        <v>104.3</v>
      </c>
      <c r="N61" s="2">
        <v>117.1</v>
      </c>
      <c r="O61" s="2">
        <v>115.2</v>
      </c>
      <c r="P61" s="2">
        <v>123.1</v>
      </c>
      <c r="Q61" s="2">
        <v>126.6</v>
      </c>
      <c r="R61" s="2">
        <v>119.9</v>
      </c>
      <c r="S61" s="2">
        <v>120</v>
      </c>
      <c r="T61" s="2">
        <v>116.8</v>
      </c>
      <c r="U61" s="2">
        <v>119.6</v>
      </c>
      <c r="V61" s="2">
        <v>100.4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</row>
    <row r="62" spans="1:31" ht="26.5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122.3</v>
      </c>
      <c r="F62" s="2">
        <v>122.4</v>
      </c>
      <c r="G62" s="2">
        <v>117.8</v>
      </c>
      <c r="H62" s="2">
        <v>122.7</v>
      </c>
      <c r="I62" s="2">
        <v>110.4</v>
      </c>
      <c r="J62" s="2">
        <v>129.80000000000001</v>
      </c>
      <c r="K62" s="2">
        <v>158.80000000000001</v>
      </c>
      <c r="L62" s="2">
        <v>115</v>
      </c>
      <c r="M62" s="2">
        <v>104.7</v>
      </c>
      <c r="N62" s="2">
        <v>114.9</v>
      </c>
      <c r="O62" s="2">
        <v>116.5</v>
      </c>
      <c r="P62" s="2">
        <v>122.6</v>
      </c>
      <c r="Q62" s="2">
        <v>125.3</v>
      </c>
      <c r="R62" s="2">
        <v>119.5</v>
      </c>
      <c r="S62" s="2">
        <v>121.7</v>
      </c>
      <c r="T62" s="2">
        <v>119.2</v>
      </c>
      <c r="U62" s="2">
        <v>121.3</v>
      </c>
      <c r="V62" s="2">
        <f>VLOOKUP($A62,'Impute housing Missing Value'!$A$1:$C$125,3,0)</f>
        <v>116.1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</row>
    <row r="63" spans="1:31" ht="26.5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124.2</v>
      </c>
      <c r="F63" s="2">
        <v>125.4</v>
      </c>
      <c r="G63" s="2">
        <v>116.4</v>
      </c>
      <c r="H63" s="2">
        <v>122.7</v>
      </c>
      <c r="I63" s="2">
        <v>103.5</v>
      </c>
      <c r="J63" s="2">
        <v>124.5</v>
      </c>
      <c r="K63" s="2">
        <v>168.6</v>
      </c>
      <c r="L63" s="2">
        <v>116.9</v>
      </c>
      <c r="M63" s="2">
        <v>101.9</v>
      </c>
      <c r="N63" s="2">
        <v>122.9</v>
      </c>
      <c r="O63" s="2">
        <v>114.8</v>
      </c>
      <c r="P63" s="2">
        <v>125.2</v>
      </c>
      <c r="Q63" s="2">
        <v>126.7</v>
      </c>
      <c r="R63" s="2">
        <v>124.3</v>
      </c>
      <c r="S63" s="2">
        <v>119.2</v>
      </c>
      <c r="T63" s="2">
        <v>114.5</v>
      </c>
      <c r="U63" s="2">
        <v>118.4</v>
      </c>
      <c r="V63" s="2">
        <v>100.4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</row>
    <row r="64" spans="1:31" ht="26.5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122.9</v>
      </c>
      <c r="F64" s="2">
        <v>123.5</v>
      </c>
      <c r="G64" s="2">
        <v>117.3</v>
      </c>
      <c r="H64" s="2">
        <v>122.7</v>
      </c>
      <c r="I64" s="2">
        <v>107.9</v>
      </c>
      <c r="J64" s="2">
        <v>127.3</v>
      </c>
      <c r="K64" s="2">
        <v>162.1</v>
      </c>
      <c r="L64" s="2">
        <v>115.6</v>
      </c>
      <c r="M64" s="2">
        <v>103.8</v>
      </c>
      <c r="N64" s="2">
        <v>117.6</v>
      </c>
      <c r="O64" s="2">
        <v>115.8</v>
      </c>
      <c r="P64" s="2">
        <v>123.8</v>
      </c>
      <c r="Q64" s="2">
        <v>125.8</v>
      </c>
      <c r="R64" s="2">
        <v>120.8</v>
      </c>
      <c r="S64" s="2">
        <v>120.7</v>
      </c>
      <c r="T64" s="2">
        <v>117.2</v>
      </c>
      <c r="U64" s="2">
        <v>120.1</v>
      </c>
      <c r="V64" s="2">
        <v>100.4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</row>
    <row r="65" spans="1:31" ht="15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122.6</v>
      </c>
      <c r="F65" s="2">
        <v>122.5</v>
      </c>
      <c r="G65" s="2">
        <v>118.3</v>
      </c>
      <c r="H65" s="2">
        <v>123.2</v>
      </c>
      <c r="I65" s="2">
        <v>110.5</v>
      </c>
      <c r="J65" s="2">
        <v>128.9</v>
      </c>
      <c r="K65" s="2">
        <v>155.30000000000001</v>
      </c>
      <c r="L65" s="2">
        <v>115.5</v>
      </c>
      <c r="M65" s="2">
        <v>104</v>
      </c>
      <c r="N65" s="2">
        <v>115.3</v>
      </c>
      <c r="O65" s="2">
        <v>116.8</v>
      </c>
      <c r="P65" s="2">
        <v>123.2</v>
      </c>
      <c r="Q65" s="2">
        <v>125.1</v>
      </c>
      <c r="R65" s="2">
        <v>120</v>
      </c>
      <c r="S65" s="2">
        <v>122.7</v>
      </c>
      <c r="T65" s="2">
        <v>120.3</v>
      </c>
      <c r="U65" s="2">
        <v>122.3</v>
      </c>
      <c r="V65" s="2">
        <f>VLOOKUP($A65,'Impute housing Missing Value'!$A$1:$C$125,3,0)</f>
        <v>116.7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</row>
    <row r="66" spans="1:31" ht="15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124.6</v>
      </c>
      <c r="F66" s="2">
        <v>126.1</v>
      </c>
      <c r="G66" s="2">
        <v>117.8</v>
      </c>
      <c r="H66" s="2">
        <v>123.1</v>
      </c>
      <c r="I66" s="2">
        <v>103.5</v>
      </c>
      <c r="J66" s="2">
        <v>123.5</v>
      </c>
      <c r="K66" s="2">
        <v>159.6</v>
      </c>
      <c r="L66" s="2">
        <v>117.4</v>
      </c>
      <c r="M66" s="2">
        <v>101.2</v>
      </c>
      <c r="N66" s="2">
        <v>123.8</v>
      </c>
      <c r="O66" s="2">
        <v>115.2</v>
      </c>
      <c r="P66" s="2">
        <v>125.9</v>
      </c>
      <c r="Q66" s="2">
        <v>125.8</v>
      </c>
      <c r="R66" s="2">
        <v>124.3</v>
      </c>
      <c r="S66" s="2">
        <v>119.6</v>
      </c>
      <c r="T66" s="2">
        <v>114.9</v>
      </c>
      <c r="U66" s="2">
        <v>118.9</v>
      </c>
      <c r="V66" s="2">
        <v>100.4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</row>
    <row r="67" spans="1:31" ht="26.5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123.2</v>
      </c>
      <c r="F67" s="2">
        <v>123.8</v>
      </c>
      <c r="G67" s="2">
        <v>118.1</v>
      </c>
      <c r="H67" s="2">
        <v>123.2</v>
      </c>
      <c r="I67" s="2">
        <v>107.9</v>
      </c>
      <c r="J67" s="2">
        <v>126.4</v>
      </c>
      <c r="K67" s="2">
        <v>156.80000000000001</v>
      </c>
      <c r="L67" s="2">
        <v>116.1</v>
      </c>
      <c r="M67" s="2">
        <v>103.1</v>
      </c>
      <c r="N67" s="2">
        <v>118.1</v>
      </c>
      <c r="O67" s="2">
        <v>116.1</v>
      </c>
      <c r="P67" s="2">
        <v>124.5</v>
      </c>
      <c r="Q67" s="2">
        <v>125.4</v>
      </c>
      <c r="R67" s="2">
        <v>121.1</v>
      </c>
      <c r="S67" s="2">
        <v>121.5</v>
      </c>
      <c r="T67" s="2">
        <v>118.1</v>
      </c>
      <c r="U67" s="2">
        <v>121</v>
      </c>
      <c r="V67" s="2">
        <v>100.4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</row>
    <row r="68" spans="1:31" ht="26.5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122.7</v>
      </c>
      <c r="F68" s="2">
        <v>122.6</v>
      </c>
      <c r="G68" s="2">
        <v>119.9</v>
      </c>
      <c r="H68" s="2">
        <v>124</v>
      </c>
      <c r="I68" s="2">
        <v>110.5</v>
      </c>
      <c r="J68" s="2">
        <v>128.80000000000001</v>
      </c>
      <c r="K68" s="2">
        <v>152</v>
      </c>
      <c r="L68" s="2">
        <v>116.2</v>
      </c>
      <c r="M68" s="2">
        <v>103.3</v>
      </c>
      <c r="N68" s="2">
        <v>115.8</v>
      </c>
      <c r="O68" s="2">
        <v>116.8</v>
      </c>
      <c r="P68" s="2">
        <v>124.5</v>
      </c>
      <c r="Q68" s="2">
        <v>124.9</v>
      </c>
      <c r="R68" s="2">
        <v>120.8</v>
      </c>
      <c r="S68" s="2">
        <v>123.3</v>
      </c>
      <c r="T68" s="2">
        <v>120.5</v>
      </c>
      <c r="U68" s="2">
        <v>122.9</v>
      </c>
      <c r="V68" s="2">
        <f>VLOOKUP($A68,'Impute housing Missing Value'!$A$1:$C$125,3,0)</f>
        <v>117.1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</row>
    <row r="69" spans="1:31" ht="26.5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124.5</v>
      </c>
      <c r="F69" s="2">
        <v>125.6</v>
      </c>
      <c r="G69" s="2">
        <v>122.7</v>
      </c>
      <c r="H69" s="2">
        <v>124.6</v>
      </c>
      <c r="I69" s="2">
        <v>103.2</v>
      </c>
      <c r="J69" s="2">
        <v>122.2</v>
      </c>
      <c r="K69" s="2">
        <v>153.19999999999999</v>
      </c>
      <c r="L69" s="2">
        <v>119.3</v>
      </c>
      <c r="M69" s="2">
        <v>99.8</v>
      </c>
      <c r="N69" s="2">
        <v>124.6</v>
      </c>
      <c r="O69" s="2">
        <v>115.8</v>
      </c>
      <c r="P69" s="2">
        <v>126.9</v>
      </c>
      <c r="Q69" s="2">
        <v>125.4</v>
      </c>
      <c r="R69" s="2">
        <v>125.8</v>
      </c>
      <c r="S69" s="2">
        <v>120.3</v>
      </c>
      <c r="T69" s="2">
        <v>115.4</v>
      </c>
      <c r="U69" s="2">
        <v>119.5</v>
      </c>
      <c r="V69" s="2">
        <v>100.4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</row>
    <row r="70" spans="1:31" ht="26.5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123.3</v>
      </c>
      <c r="F70" s="2">
        <v>123.7</v>
      </c>
      <c r="G70" s="2">
        <v>121</v>
      </c>
      <c r="H70" s="2">
        <v>124.2</v>
      </c>
      <c r="I70" s="2">
        <v>107.8</v>
      </c>
      <c r="J70" s="2">
        <v>125.7</v>
      </c>
      <c r="K70" s="2">
        <v>152.4</v>
      </c>
      <c r="L70" s="2">
        <v>117.2</v>
      </c>
      <c r="M70" s="2">
        <v>102.1</v>
      </c>
      <c r="N70" s="2">
        <v>118.7</v>
      </c>
      <c r="O70" s="2">
        <v>116.4</v>
      </c>
      <c r="P70" s="2">
        <v>125.6</v>
      </c>
      <c r="Q70" s="2">
        <v>125.1</v>
      </c>
      <c r="R70" s="2">
        <v>122.1</v>
      </c>
      <c r="S70" s="2">
        <v>122.1</v>
      </c>
      <c r="T70" s="2">
        <v>118.4</v>
      </c>
      <c r="U70" s="2">
        <v>121.6</v>
      </c>
      <c r="V70" s="2">
        <v>100.4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</row>
    <row r="71" spans="1:31" ht="26.5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122.4</v>
      </c>
      <c r="F71" s="2">
        <v>122.4</v>
      </c>
      <c r="G71" s="2">
        <v>121.8</v>
      </c>
      <c r="H71" s="2">
        <v>124.2</v>
      </c>
      <c r="I71" s="2">
        <v>110.2</v>
      </c>
      <c r="J71" s="2">
        <v>128.6</v>
      </c>
      <c r="K71" s="2">
        <v>140.30000000000001</v>
      </c>
      <c r="L71" s="2">
        <v>116.3</v>
      </c>
      <c r="M71" s="2">
        <v>102</v>
      </c>
      <c r="N71" s="2">
        <v>116</v>
      </c>
      <c r="O71" s="2">
        <v>117.3</v>
      </c>
      <c r="P71" s="2">
        <v>124.8</v>
      </c>
      <c r="Q71" s="2">
        <v>123.3</v>
      </c>
      <c r="R71" s="2">
        <v>121.7</v>
      </c>
      <c r="S71" s="2">
        <v>123.8</v>
      </c>
      <c r="T71" s="2">
        <v>120.6</v>
      </c>
      <c r="U71" s="2">
        <v>123.3</v>
      </c>
      <c r="V71" s="2">
        <f>VLOOKUP($A71,'Impute housing Missing Value'!$A$1:$C$125,3,0)</f>
        <v>116.5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</row>
    <row r="72" spans="1:31" ht="26.5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124</v>
      </c>
      <c r="F72" s="2">
        <v>124.7</v>
      </c>
      <c r="G72" s="2">
        <v>126.3</v>
      </c>
      <c r="H72" s="2">
        <v>124.9</v>
      </c>
      <c r="I72" s="2">
        <v>103</v>
      </c>
      <c r="J72" s="2">
        <v>122.3</v>
      </c>
      <c r="K72" s="2">
        <v>141</v>
      </c>
      <c r="L72" s="2">
        <v>120.1</v>
      </c>
      <c r="M72" s="2">
        <v>97.8</v>
      </c>
      <c r="N72" s="2">
        <v>125.4</v>
      </c>
      <c r="O72" s="2">
        <v>116.1</v>
      </c>
      <c r="P72" s="2">
        <v>127.6</v>
      </c>
      <c r="Q72" s="2">
        <v>124</v>
      </c>
      <c r="R72" s="2">
        <v>126.4</v>
      </c>
      <c r="S72" s="2">
        <v>120.7</v>
      </c>
      <c r="T72" s="2">
        <v>115.8</v>
      </c>
      <c r="U72" s="2">
        <v>120</v>
      </c>
      <c r="V72" s="2">
        <v>100.4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</row>
    <row r="73" spans="1:31" ht="26.5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122.9</v>
      </c>
      <c r="F73" s="2">
        <v>123.2</v>
      </c>
      <c r="G73" s="2">
        <v>123.5</v>
      </c>
      <c r="H73" s="2">
        <v>124.5</v>
      </c>
      <c r="I73" s="2">
        <v>107.6</v>
      </c>
      <c r="J73" s="2">
        <v>125.7</v>
      </c>
      <c r="K73" s="2">
        <v>140.5</v>
      </c>
      <c r="L73" s="2">
        <v>117.6</v>
      </c>
      <c r="M73" s="2">
        <v>100.6</v>
      </c>
      <c r="N73" s="2">
        <v>119.1</v>
      </c>
      <c r="O73" s="2">
        <v>116.8</v>
      </c>
      <c r="P73" s="2">
        <v>126.1</v>
      </c>
      <c r="Q73" s="2">
        <v>123.6</v>
      </c>
      <c r="R73" s="2">
        <v>123</v>
      </c>
      <c r="S73" s="2">
        <v>122.6</v>
      </c>
      <c r="T73" s="2">
        <v>118.6</v>
      </c>
      <c r="U73" s="2">
        <v>122</v>
      </c>
      <c r="V73" s="2">
        <v>100.4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</row>
    <row r="74" spans="1:31" ht="15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123.1</v>
      </c>
      <c r="F74" s="2">
        <v>123.1</v>
      </c>
      <c r="G74" s="2">
        <v>122.1</v>
      </c>
      <c r="H74" s="2">
        <v>124.9</v>
      </c>
      <c r="I74" s="2">
        <v>111</v>
      </c>
      <c r="J74" s="2">
        <v>130.4</v>
      </c>
      <c r="K74" s="2">
        <v>132.30000000000001</v>
      </c>
      <c r="L74" s="2">
        <v>117.2</v>
      </c>
      <c r="M74" s="2">
        <v>100.5</v>
      </c>
      <c r="N74" s="2">
        <v>117.2</v>
      </c>
      <c r="O74" s="2">
        <v>117.9</v>
      </c>
      <c r="P74" s="2">
        <v>125.6</v>
      </c>
      <c r="Q74" s="2">
        <v>122.8</v>
      </c>
      <c r="R74" s="2">
        <v>122.7</v>
      </c>
      <c r="S74" s="2">
        <v>124.4</v>
      </c>
      <c r="T74" s="2">
        <v>121.6</v>
      </c>
      <c r="U74" s="2">
        <v>124</v>
      </c>
      <c r="V74" s="2">
        <f>VLOOKUP($A74,'Impute housing Missing Value'!$A$1:$C$125,3,0)</f>
        <v>117.3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</row>
    <row r="75" spans="1:31" ht="15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124</v>
      </c>
      <c r="F75" s="2">
        <v>125.5</v>
      </c>
      <c r="G75" s="2">
        <v>126.6</v>
      </c>
      <c r="H75" s="2">
        <v>125.2</v>
      </c>
      <c r="I75" s="2">
        <v>104.3</v>
      </c>
      <c r="J75" s="2">
        <v>121.3</v>
      </c>
      <c r="K75" s="2">
        <v>134.4</v>
      </c>
      <c r="L75" s="2">
        <v>122.9</v>
      </c>
      <c r="M75" s="2">
        <v>96.1</v>
      </c>
      <c r="N75" s="2">
        <v>126.6</v>
      </c>
      <c r="O75" s="2">
        <v>116.5</v>
      </c>
      <c r="P75" s="2">
        <v>128</v>
      </c>
      <c r="Q75" s="2">
        <v>123.5</v>
      </c>
      <c r="R75" s="2">
        <v>127.4</v>
      </c>
      <c r="S75" s="2">
        <v>121</v>
      </c>
      <c r="T75" s="2">
        <v>116.1</v>
      </c>
      <c r="U75" s="2">
        <v>120.2</v>
      </c>
      <c r="V75" s="2">
        <v>100.4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</row>
    <row r="76" spans="1:31" ht="26.5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123.4</v>
      </c>
      <c r="F76" s="2">
        <v>123.9</v>
      </c>
      <c r="G76" s="2">
        <v>123.8</v>
      </c>
      <c r="H76" s="2">
        <v>125</v>
      </c>
      <c r="I76" s="2">
        <v>108.5</v>
      </c>
      <c r="J76" s="2">
        <v>126.2</v>
      </c>
      <c r="K76" s="2">
        <v>133</v>
      </c>
      <c r="L76" s="2">
        <v>119.1</v>
      </c>
      <c r="M76" s="2">
        <v>99</v>
      </c>
      <c r="N76" s="2">
        <v>120.3</v>
      </c>
      <c r="O76" s="2">
        <v>117.3</v>
      </c>
      <c r="P76" s="2">
        <v>126.7</v>
      </c>
      <c r="Q76" s="2">
        <v>123.1</v>
      </c>
      <c r="R76" s="2">
        <v>124</v>
      </c>
      <c r="S76" s="2">
        <v>123.1</v>
      </c>
      <c r="T76" s="2">
        <v>119.3</v>
      </c>
      <c r="U76" s="2">
        <v>122.5</v>
      </c>
      <c r="V76" s="2">
        <v>100.4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</row>
    <row r="77" spans="1:31" ht="15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123.4</v>
      </c>
      <c r="F77" s="2">
        <v>124.4</v>
      </c>
      <c r="G77" s="2">
        <v>122.1</v>
      </c>
      <c r="H77" s="2">
        <v>125.8</v>
      </c>
      <c r="I77" s="2">
        <v>111.5</v>
      </c>
      <c r="J77" s="2">
        <v>129.4</v>
      </c>
      <c r="K77" s="2">
        <v>128.19999999999999</v>
      </c>
      <c r="L77" s="2">
        <v>118.8</v>
      </c>
      <c r="M77" s="2">
        <v>100</v>
      </c>
      <c r="N77" s="2">
        <v>118.6</v>
      </c>
      <c r="O77" s="2">
        <v>118.8</v>
      </c>
      <c r="P77" s="2">
        <v>126.8</v>
      </c>
      <c r="Q77" s="2">
        <v>122.8</v>
      </c>
      <c r="R77" s="2">
        <v>124.2</v>
      </c>
      <c r="S77" s="2">
        <v>125.4</v>
      </c>
      <c r="T77" s="2">
        <v>122.7</v>
      </c>
      <c r="U77" s="2">
        <v>125</v>
      </c>
      <c r="V77" s="2">
        <f>VLOOKUP($A77,'Impute housing Missing Value'!$A$1:$C$125,3,0)</f>
        <v>118.1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</row>
    <row r="78" spans="1:31" ht="15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124.3</v>
      </c>
      <c r="F78" s="2">
        <v>126.5</v>
      </c>
      <c r="G78" s="2">
        <v>119.5</v>
      </c>
      <c r="H78" s="2">
        <v>125.6</v>
      </c>
      <c r="I78" s="2">
        <v>104.9</v>
      </c>
      <c r="J78" s="2">
        <v>121.6</v>
      </c>
      <c r="K78" s="2">
        <v>131.80000000000001</v>
      </c>
      <c r="L78" s="2">
        <v>125.1</v>
      </c>
      <c r="M78" s="2">
        <v>95</v>
      </c>
      <c r="N78" s="2">
        <v>127.7</v>
      </c>
      <c r="O78" s="2">
        <v>116.8</v>
      </c>
      <c r="P78" s="2">
        <v>128.6</v>
      </c>
      <c r="Q78" s="2">
        <v>123.7</v>
      </c>
      <c r="R78" s="2">
        <v>128.1</v>
      </c>
      <c r="S78" s="2">
        <v>121.3</v>
      </c>
      <c r="T78" s="2">
        <v>116.5</v>
      </c>
      <c r="U78" s="2">
        <v>120.6</v>
      </c>
      <c r="V78" s="2">
        <v>100.4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</row>
    <row r="79" spans="1:31" ht="26.5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123.7</v>
      </c>
      <c r="F79" s="2">
        <v>125.1</v>
      </c>
      <c r="G79" s="2">
        <v>121.1</v>
      </c>
      <c r="H79" s="2">
        <v>125.7</v>
      </c>
      <c r="I79" s="2">
        <v>109.1</v>
      </c>
      <c r="J79" s="2">
        <v>125.8</v>
      </c>
      <c r="K79" s="2">
        <v>129.4</v>
      </c>
      <c r="L79" s="2">
        <v>120.9</v>
      </c>
      <c r="M79" s="2">
        <v>98.3</v>
      </c>
      <c r="N79" s="2">
        <v>121.6</v>
      </c>
      <c r="O79" s="2">
        <v>118</v>
      </c>
      <c r="P79" s="2">
        <v>127.6</v>
      </c>
      <c r="Q79" s="2">
        <v>123.1</v>
      </c>
      <c r="R79" s="2">
        <v>125.2</v>
      </c>
      <c r="S79" s="2">
        <v>123.8</v>
      </c>
      <c r="T79" s="2">
        <v>120.1</v>
      </c>
      <c r="U79" s="2">
        <v>123.3</v>
      </c>
      <c r="V79" s="2">
        <v>100.4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</row>
    <row r="80" spans="1:31" ht="15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123.3</v>
      </c>
      <c r="F80" s="2">
        <v>124.7</v>
      </c>
      <c r="G80" s="2">
        <v>118.9</v>
      </c>
      <c r="H80" s="2">
        <v>126</v>
      </c>
      <c r="I80" s="2">
        <v>111.8</v>
      </c>
      <c r="J80" s="2">
        <v>130.9</v>
      </c>
      <c r="K80" s="2">
        <v>128</v>
      </c>
      <c r="L80" s="2">
        <v>119.9</v>
      </c>
      <c r="M80" s="2">
        <v>98.9</v>
      </c>
      <c r="N80" s="2">
        <v>119.4</v>
      </c>
      <c r="O80" s="2">
        <v>118.9</v>
      </c>
      <c r="P80" s="2">
        <v>127.7</v>
      </c>
      <c r="Q80" s="2">
        <v>123.1</v>
      </c>
      <c r="R80" s="2">
        <v>124.7</v>
      </c>
      <c r="S80" s="2">
        <v>126</v>
      </c>
      <c r="T80" s="2">
        <v>122.9</v>
      </c>
      <c r="U80" s="2">
        <v>125.5</v>
      </c>
      <c r="V80" s="2">
        <f>VLOOKUP($A80,'Impute housing Missing Value'!$A$1:$C$125,3,0)</f>
        <v>118.6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</row>
    <row r="81" spans="1:31" ht="15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124</v>
      </c>
      <c r="F81" s="2">
        <v>126.7</v>
      </c>
      <c r="G81" s="2">
        <v>113.5</v>
      </c>
      <c r="H81" s="2">
        <v>125.9</v>
      </c>
      <c r="I81" s="2">
        <v>104.8</v>
      </c>
      <c r="J81" s="2">
        <v>123.8</v>
      </c>
      <c r="K81" s="2">
        <v>131.4</v>
      </c>
      <c r="L81" s="2">
        <v>127.2</v>
      </c>
      <c r="M81" s="2">
        <v>93.2</v>
      </c>
      <c r="N81" s="2">
        <v>127.4</v>
      </c>
      <c r="O81" s="2">
        <v>117</v>
      </c>
      <c r="P81" s="2">
        <v>129.19999999999999</v>
      </c>
      <c r="Q81" s="2">
        <v>123.9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100.4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</row>
    <row r="82" spans="1:31" ht="26.5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123.5</v>
      </c>
      <c r="F82" s="2">
        <v>125.4</v>
      </c>
      <c r="G82" s="2">
        <v>116.8</v>
      </c>
      <c r="H82" s="2">
        <v>126</v>
      </c>
      <c r="I82" s="2">
        <v>109.2</v>
      </c>
      <c r="J82" s="2">
        <v>127.6</v>
      </c>
      <c r="K82" s="2">
        <v>129.19999999999999</v>
      </c>
      <c r="L82" s="2">
        <v>122.4</v>
      </c>
      <c r="M82" s="2">
        <v>97</v>
      </c>
      <c r="N82" s="2">
        <v>122.1</v>
      </c>
      <c r="O82" s="2">
        <v>118.1</v>
      </c>
      <c r="P82" s="2">
        <v>128.4</v>
      </c>
      <c r="Q82" s="2">
        <v>123.4</v>
      </c>
      <c r="R82" s="2">
        <v>125.8</v>
      </c>
      <c r="S82" s="2">
        <v>124.3</v>
      </c>
      <c r="T82" s="2">
        <v>120.4</v>
      </c>
      <c r="U82" s="2">
        <v>123.7</v>
      </c>
      <c r="V82" s="2">
        <v>100.4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</row>
    <row r="83" spans="1:31" ht="15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123.3</v>
      </c>
      <c r="F83" s="2">
        <v>125.5</v>
      </c>
      <c r="G83" s="2">
        <v>117.2</v>
      </c>
      <c r="H83" s="2">
        <v>126.8</v>
      </c>
      <c r="I83" s="2">
        <v>111.9</v>
      </c>
      <c r="J83" s="2">
        <v>134.19999999999999</v>
      </c>
      <c r="K83" s="2">
        <v>127.5</v>
      </c>
      <c r="L83" s="2">
        <v>121.5</v>
      </c>
      <c r="M83" s="2">
        <v>97.8</v>
      </c>
      <c r="N83" s="2">
        <v>119.8</v>
      </c>
      <c r="O83" s="2">
        <v>119.4</v>
      </c>
      <c r="P83" s="2">
        <v>128.69999999999999</v>
      </c>
      <c r="Q83" s="2">
        <v>123.6</v>
      </c>
      <c r="R83" s="2">
        <v>125.7</v>
      </c>
      <c r="S83" s="2">
        <v>126.4</v>
      </c>
      <c r="T83" s="2">
        <v>123.3</v>
      </c>
      <c r="U83" s="2">
        <v>126</v>
      </c>
      <c r="V83" s="2">
        <f>VLOOKUP($A83,'Impute housing Missing Value'!$A$1:$C$125,3,0)</f>
        <v>119.2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</row>
    <row r="84" spans="1:31" ht="15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123.8</v>
      </c>
      <c r="F84" s="2">
        <v>128.19999999999999</v>
      </c>
      <c r="G84" s="2">
        <v>110</v>
      </c>
      <c r="H84" s="2">
        <v>126.3</v>
      </c>
      <c r="I84" s="2">
        <v>104.5</v>
      </c>
      <c r="J84" s="2">
        <v>130.6</v>
      </c>
      <c r="K84" s="2">
        <v>130.80000000000001</v>
      </c>
      <c r="L84" s="2">
        <v>131.30000000000001</v>
      </c>
      <c r="M84" s="2">
        <v>91.6</v>
      </c>
      <c r="N84" s="2">
        <v>127.7</v>
      </c>
      <c r="O84" s="2">
        <v>117.2</v>
      </c>
      <c r="P84" s="2">
        <v>129.5</v>
      </c>
      <c r="Q84" s="2">
        <v>124.6</v>
      </c>
      <c r="R84" s="2">
        <v>130.1</v>
      </c>
      <c r="S84" s="2">
        <v>122.1</v>
      </c>
      <c r="T84" s="2">
        <v>117.2</v>
      </c>
      <c r="U84" s="2">
        <v>121.3</v>
      </c>
      <c r="V84" s="2">
        <v>100.4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</row>
    <row r="85" spans="1:31" ht="26.5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123.5</v>
      </c>
      <c r="F85" s="2">
        <v>126.4</v>
      </c>
      <c r="G85" s="2">
        <v>114.4</v>
      </c>
      <c r="H85" s="2">
        <v>126.6</v>
      </c>
      <c r="I85" s="2">
        <v>109.2</v>
      </c>
      <c r="J85" s="2">
        <v>132.5</v>
      </c>
      <c r="K85" s="2">
        <v>128.6</v>
      </c>
      <c r="L85" s="2">
        <v>124.8</v>
      </c>
      <c r="M85" s="2">
        <v>95.7</v>
      </c>
      <c r="N85" s="2">
        <v>122.4</v>
      </c>
      <c r="O85" s="2">
        <v>118.5</v>
      </c>
      <c r="P85" s="2">
        <v>129.1</v>
      </c>
      <c r="Q85" s="2">
        <v>124</v>
      </c>
      <c r="R85" s="2">
        <v>126.9</v>
      </c>
      <c r="S85" s="2">
        <v>124.7</v>
      </c>
      <c r="T85" s="2">
        <v>120.8</v>
      </c>
      <c r="U85" s="2">
        <v>124.1</v>
      </c>
      <c r="V85" s="2">
        <v>100.4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</row>
    <row r="86" spans="1:31" ht="15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123.5</v>
      </c>
      <c r="F86" s="2">
        <v>127.1</v>
      </c>
      <c r="G86" s="2">
        <v>117.3</v>
      </c>
      <c r="H86" s="2">
        <v>127.7</v>
      </c>
      <c r="I86" s="2">
        <v>112.5</v>
      </c>
      <c r="J86" s="2">
        <v>134.1</v>
      </c>
      <c r="K86" s="2">
        <v>128.5</v>
      </c>
      <c r="L86" s="2">
        <v>124.3</v>
      </c>
      <c r="M86" s="2">
        <v>97.6</v>
      </c>
      <c r="N86" s="2">
        <v>120.7</v>
      </c>
      <c r="O86" s="2">
        <v>120.2</v>
      </c>
      <c r="P86" s="2">
        <v>129.80000000000001</v>
      </c>
      <c r="Q86" s="2">
        <v>124.4</v>
      </c>
      <c r="R86" s="2">
        <v>126.7</v>
      </c>
      <c r="S86" s="2">
        <v>127.3</v>
      </c>
      <c r="T86" s="2">
        <v>124.1</v>
      </c>
      <c r="U86" s="2">
        <v>126.8</v>
      </c>
      <c r="V86" s="2">
        <f>VLOOKUP($A86,'Impute housing Missing Value'!$A$1:$C$125,3,0)</f>
        <v>119.6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</row>
    <row r="87" spans="1:31" ht="15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123.8</v>
      </c>
      <c r="F87" s="2">
        <v>129.69999999999999</v>
      </c>
      <c r="G87" s="2">
        <v>111.3</v>
      </c>
      <c r="H87" s="2">
        <v>126.6</v>
      </c>
      <c r="I87" s="2">
        <v>105.2</v>
      </c>
      <c r="J87" s="2">
        <v>130.80000000000001</v>
      </c>
      <c r="K87" s="2">
        <v>135.6</v>
      </c>
      <c r="L87" s="2">
        <v>142.6</v>
      </c>
      <c r="M87" s="2">
        <v>90.8</v>
      </c>
      <c r="N87" s="2">
        <v>128.80000000000001</v>
      </c>
      <c r="O87" s="2">
        <v>117.7</v>
      </c>
      <c r="P87" s="2">
        <v>129.9</v>
      </c>
      <c r="Q87" s="2">
        <v>126.1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100.4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</row>
    <row r="88" spans="1:31" ht="26.5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123.6</v>
      </c>
      <c r="F88" s="2">
        <v>128</v>
      </c>
      <c r="G88" s="2">
        <v>115</v>
      </c>
      <c r="H88" s="2">
        <v>127.3</v>
      </c>
      <c r="I88" s="2">
        <v>109.8</v>
      </c>
      <c r="J88" s="2">
        <v>132.6</v>
      </c>
      <c r="K88" s="2">
        <v>130.9</v>
      </c>
      <c r="L88" s="2">
        <v>130.5</v>
      </c>
      <c r="M88" s="2">
        <v>95.3</v>
      </c>
      <c r="N88" s="2">
        <v>123.4</v>
      </c>
      <c r="O88" s="2">
        <v>119.2</v>
      </c>
      <c r="P88" s="2">
        <v>129.80000000000001</v>
      </c>
      <c r="Q88" s="2">
        <v>125</v>
      </c>
      <c r="R88" s="2">
        <v>127.9</v>
      </c>
      <c r="S88" s="2">
        <v>125.4</v>
      </c>
      <c r="T88" s="2">
        <v>121.3</v>
      </c>
      <c r="U88" s="2">
        <v>124.7</v>
      </c>
      <c r="V88" s="2">
        <v>100.4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</row>
    <row r="89" spans="1:31" ht="15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F89" s="2">
        <v>130.4</v>
      </c>
      <c r="G89" s="2">
        <v>122.1</v>
      </c>
      <c r="H89" s="2">
        <v>128.69999999999999</v>
      </c>
      <c r="I89" s="2">
        <v>114.1</v>
      </c>
      <c r="J89" s="2">
        <v>133.19999999999999</v>
      </c>
      <c r="K89" s="2">
        <v>135.19999999999999</v>
      </c>
      <c r="L89" s="2">
        <v>131.9</v>
      </c>
      <c r="M89" s="2">
        <v>96.3</v>
      </c>
      <c r="N89" s="2">
        <v>123</v>
      </c>
      <c r="O89" s="2">
        <v>121.1</v>
      </c>
      <c r="P89" s="2">
        <v>131.19999999999999</v>
      </c>
      <c r="Q89" s="2">
        <v>126.6</v>
      </c>
      <c r="R89" s="2">
        <v>128.19999999999999</v>
      </c>
      <c r="S89" s="2">
        <v>128.4</v>
      </c>
      <c r="T89" s="2">
        <v>125.1</v>
      </c>
      <c r="U89" s="2">
        <v>128</v>
      </c>
      <c r="V89" s="2">
        <f>VLOOKUP($A89,'Impute housing Missing Value'!$A$1:$C$125,3,0)</f>
        <v>119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</row>
    <row r="90" spans="1:31" ht="15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123.6</v>
      </c>
      <c r="F90" s="2">
        <v>134.4</v>
      </c>
      <c r="G90" s="2">
        <v>120.9</v>
      </c>
      <c r="H90" s="2">
        <v>127.3</v>
      </c>
      <c r="I90" s="2">
        <v>106</v>
      </c>
      <c r="J90" s="2">
        <v>132.30000000000001</v>
      </c>
      <c r="K90" s="2">
        <v>146.69999999999999</v>
      </c>
      <c r="L90" s="2">
        <v>148.1</v>
      </c>
      <c r="M90" s="2">
        <v>89.8</v>
      </c>
      <c r="N90" s="2">
        <v>130.5</v>
      </c>
      <c r="O90" s="2">
        <v>118</v>
      </c>
      <c r="P90" s="2">
        <v>130.5</v>
      </c>
      <c r="Q90" s="2">
        <v>128.5</v>
      </c>
      <c r="R90" s="2">
        <v>132.1</v>
      </c>
      <c r="S90" s="2">
        <v>123.2</v>
      </c>
      <c r="T90" s="2">
        <v>117.6</v>
      </c>
      <c r="U90" s="2">
        <v>122.3</v>
      </c>
      <c r="V90" s="2">
        <v>100.4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</row>
    <row r="91" spans="1:31" ht="26.5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123.9</v>
      </c>
      <c r="F91" s="2">
        <v>131.80000000000001</v>
      </c>
      <c r="G91" s="2">
        <v>121.6</v>
      </c>
      <c r="H91" s="2">
        <v>128.19999999999999</v>
      </c>
      <c r="I91" s="2">
        <v>111.1</v>
      </c>
      <c r="J91" s="2">
        <v>132.80000000000001</v>
      </c>
      <c r="K91" s="2">
        <v>139.1</v>
      </c>
      <c r="L91" s="2">
        <v>137.4</v>
      </c>
      <c r="M91" s="2">
        <v>94.1</v>
      </c>
      <c r="N91" s="2">
        <v>125.5</v>
      </c>
      <c r="O91" s="2">
        <v>119.8</v>
      </c>
      <c r="P91" s="2">
        <v>130.9</v>
      </c>
      <c r="Q91" s="2">
        <v>127.3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100.4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</row>
    <row r="92" spans="1:31" ht="15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</v>
      </c>
      <c r="F92" s="2">
        <v>131.5</v>
      </c>
      <c r="G92" s="2">
        <v>122</v>
      </c>
      <c r="H92" s="2">
        <v>128.69999999999999</v>
      </c>
      <c r="I92" s="2">
        <v>113.5</v>
      </c>
      <c r="J92" s="2">
        <v>133.30000000000001</v>
      </c>
      <c r="K92" s="2">
        <v>140.80000000000001</v>
      </c>
      <c r="L92" s="2">
        <v>133.80000000000001</v>
      </c>
      <c r="M92" s="2">
        <v>94.1</v>
      </c>
      <c r="N92" s="2">
        <v>123.4</v>
      </c>
      <c r="O92" s="2">
        <v>121</v>
      </c>
      <c r="P92" s="2">
        <v>131.69999999999999</v>
      </c>
      <c r="Q92" s="2">
        <v>127.5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>
        <f>VLOOKUP($A92,'Impute housing Missing Value'!$A$1:$C$125,3,0)</f>
        <v>119.9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</row>
    <row r="93" spans="1:31" ht="15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123.2</v>
      </c>
      <c r="F93" s="2">
        <v>134.30000000000001</v>
      </c>
      <c r="G93" s="2">
        <v>119.5</v>
      </c>
      <c r="H93" s="2">
        <v>127.7</v>
      </c>
      <c r="I93" s="2">
        <v>106.3</v>
      </c>
      <c r="J93" s="2">
        <v>132.80000000000001</v>
      </c>
      <c r="K93" s="2">
        <v>153.5</v>
      </c>
      <c r="L93" s="2">
        <v>149.5</v>
      </c>
      <c r="M93" s="2">
        <v>85.7</v>
      </c>
      <c r="N93" s="2">
        <v>131.5</v>
      </c>
      <c r="O93" s="2">
        <v>118.3</v>
      </c>
      <c r="P93" s="2">
        <v>131.1</v>
      </c>
      <c r="Q93" s="2">
        <v>129.5</v>
      </c>
      <c r="R93" s="2">
        <v>133.1</v>
      </c>
      <c r="S93" s="2">
        <v>123.5</v>
      </c>
      <c r="T93" s="2">
        <v>117.9</v>
      </c>
      <c r="U93" s="2">
        <v>122.7</v>
      </c>
      <c r="V93" s="2">
        <v>100.4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</row>
    <row r="94" spans="1:31" ht="26.5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123.7</v>
      </c>
      <c r="F94" s="2">
        <v>132.5</v>
      </c>
      <c r="G94" s="2">
        <v>121</v>
      </c>
      <c r="H94" s="2">
        <v>128.30000000000001</v>
      </c>
      <c r="I94" s="2">
        <v>110.9</v>
      </c>
      <c r="J94" s="2">
        <v>133.1</v>
      </c>
      <c r="K94" s="2">
        <v>145.1</v>
      </c>
      <c r="L94" s="2">
        <v>139.1</v>
      </c>
      <c r="M94" s="2">
        <v>91.3</v>
      </c>
      <c r="N94" s="2">
        <v>126.1</v>
      </c>
      <c r="O94" s="2">
        <v>119.9</v>
      </c>
      <c r="P94" s="2">
        <v>131.4</v>
      </c>
      <c r="Q94" s="2">
        <v>128.19999999999999</v>
      </c>
      <c r="R94" s="2">
        <v>130.4</v>
      </c>
      <c r="S94" s="2">
        <v>126.7</v>
      </c>
      <c r="T94" s="2">
        <v>122.3</v>
      </c>
      <c r="U94" s="2">
        <v>126.1</v>
      </c>
      <c r="V94" s="2">
        <v>100.4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</row>
    <row r="95" spans="1:31" ht="15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124.7</v>
      </c>
      <c r="F95" s="2">
        <v>131.30000000000001</v>
      </c>
      <c r="G95" s="2">
        <v>121.3</v>
      </c>
      <c r="H95" s="2">
        <v>128.80000000000001</v>
      </c>
      <c r="I95" s="2">
        <v>114</v>
      </c>
      <c r="J95" s="2">
        <v>134.19999999999999</v>
      </c>
      <c r="K95" s="2">
        <v>153.6</v>
      </c>
      <c r="L95" s="2">
        <v>137.9</v>
      </c>
      <c r="M95" s="2">
        <v>93.1</v>
      </c>
      <c r="N95" s="2">
        <v>123.9</v>
      </c>
      <c r="O95" s="2">
        <v>121.5</v>
      </c>
      <c r="P95" s="2">
        <v>132.5</v>
      </c>
      <c r="Q95" s="2">
        <v>129.80000000000001</v>
      </c>
      <c r="R95" s="2">
        <v>130.1</v>
      </c>
      <c r="S95" s="2">
        <v>129.5</v>
      </c>
      <c r="T95" s="2">
        <v>126.3</v>
      </c>
      <c r="U95" s="2">
        <v>129</v>
      </c>
      <c r="V95" s="2">
        <f>VLOOKUP($A95,'Impute housing Missing Value'!$A$1:$C$125,3,0)</f>
        <v>120.9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</row>
    <row r="96" spans="1:31" ht="15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123.1</v>
      </c>
      <c r="F96" s="2">
        <v>131.69999999999999</v>
      </c>
      <c r="G96" s="2">
        <v>118.1</v>
      </c>
      <c r="H96" s="2">
        <v>128</v>
      </c>
      <c r="I96" s="2">
        <v>106.8</v>
      </c>
      <c r="J96" s="2">
        <v>130.1</v>
      </c>
      <c r="K96" s="2">
        <v>165.5</v>
      </c>
      <c r="L96" s="2">
        <v>156</v>
      </c>
      <c r="M96" s="2">
        <v>85.3</v>
      </c>
      <c r="N96" s="2">
        <v>132.69999999999999</v>
      </c>
      <c r="O96" s="2">
        <v>118.8</v>
      </c>
      <c r="P96" s="2">
        <v>131.69999999999999</v>
      </c>
      <c r="Q96" s="2">
        <v>131.1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100.4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</row>
    <row r="97" spans="1:31" ht="26.5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124.2</v>
      </c>
      <c r="F97" s="2">
        <v>131.4</v>
      </c>
      <c r="G97" s="2">
        <v>120.1</v>
      </c>
      <c r="H97" s="2">
        <v>128.5</v>
      </c>
      <c r="I97" s="2">
        <v>111.4</v>
      </c>
      <c r="J97" s="2">
        <v>132.30000000000001</v>
      </c>
      <c r="K97" s="2">
        <v>157.6</v>
      </c>
      <c r="L97" s="2">
        <v>144</v>
      </c>
      <c r="M97" s="2">
        <v>90.5</v>
      </c>
      <c r="N97" s="2">
        <v>126.8</v>
      </c>
      <c r="O97" s="2">
        <v>120.4</v>
      </c>
      <c r="P97" s="2">
        <v>132.1</v>
      </c>
      <c r="Q97" s="2">
        <v>130.30000000000001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100.4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</row>
    <row r="98" spans="1:31" ht="26.5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125.1</v>
      </c>
      <c r="F98" s="2">
        <v>131.1</v>
      </c>
      <c r="G98" s="2">
        <v>120.7</v>
      </c>
      <c r="H98" s="2">
        <v>129.19999999999999</v>
      </c>
      <c r="I98" s="2">
        <v>114.7</v>
      </c>
      <c r="J98" s="2">
        <v>132.30000000000001</v>
      </c>
      <c r="K98" s="2">
        <v>158.9</v>
      </c>
      <c r="L98" s="2">
        <v>142.1</v>
      </c>
      <c r="M98" s="2">
        <v>92.5</v>
      </c>
      <c r="N98" s="2">
        <v>125.4</v>
      </c>
      <c r="O98" s="2">
        <v>121.9</v>
      </c>
      <c r="P98" s="2">
        <v>132.69999999999999</v>
      </c>
      <c r="Q98" s="2">
        <v>131</v>
      </c>
      <c r="R98" s="2">
        <v>131</v>
      </c>
      <c r="S98" s="2">
        <v>130.4</v>
      </c>
      <c r="T98" s="2">
        <v>126.8</v>
      </c>
      <c r="U98" s="2">
        <v>129.9</v>
      </c>
      <c r="V98" s="2">
        <f>VLOOKUP($A98,'Impute housing Missing Value'!$A$1:$C$125,3,0)</f>
        <v>121.6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</row>
    <row r="99" spans="1:31" ht="26.5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123.4</v>
      </c>
      <c r="F99" s="2">
        <v>129</v>
      </c>
      <c r="G99" s="2">
        <v>115.6</v>
      </c>
      <c r="H99" s="2">
        <v>128.30000000000001</v>
      </c>
      <c r="I99" s="2">
        <v>107</v>
      </c>
      <c r="J99" s="2">
        <v>124</v>
      </c>
      <c r="K99" s="2">
        <v>168.5</v>
      </c>
      <c r="L99" s="2">
        <v>165.4</v>
      </c>
      <c r="M99" s="2">
        <v>86.3</v>
      </c>
      <c r="N99" s="2">
        <v>134.4</v>
      </c>
      <c r="O99" s="2">
        <v>119.1</v>
      </c>
      <c r="P99" s="2">
        <v>132.30000000000001</v>
      </c>
      <c r="Q99" s="2">
        <v>131.5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100.4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</row>
    <row r="100" spans="1:31" ht="26.5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124.6</v>
      </c>
      <c r="F100" s="2">
        <v>130.4</v>
      </c>
      <c r="G100" s="2">
        <v>118.7</v>
      </c>
      <c r="H100" s="2">
        <v>128.9</v>
      </c>
      <c r="I100" s="2">
        <v>111.9</v>
      </c>
      <c r="J100" s="2">
        <v>128.4</v>
      </c>
      <c r="K100" s="2">
        <v>162.19999999999999</v>
      </c>
      <c r="L100" s="2">
        <v>150</v>
      </c>
      <c r="M100" s="2">
        <v>90.4</v>
      </c>
      <c r="N100" s="2">
        <v>128.4</v>
      </c>
      <c r="O100" s="2">
        <v>120.7</v>
      </c>
      <c r="P100" s="2">
        <v>132.5</v>
      </c>
      <c r="Q100" s="2">
        <v>131.19999999999999</v>
      </c>
      <c r="R100" s="2">
        <v>132</v>
      </c>
      <c r="S100" s="2">
        <v>127.9</v>
      </c>
      <c r="T100" s="2">
        <v>123.4</v>
      </c>
      <c r="U100" s="2">
        <v>127.2</v>
      </c>
      <c r="V100" s="2">
        <v>100.4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</row>
    <row r="101" spans="1:31" ht="15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125.6</v>
      </c>
      <c r="F101" s="2">
        <v>130.4</v>
      </c>
      <c r="G101" s="2">
        <v>120.8</v>
      </c>
      <c r="H101" s="2">
        <v>129.4</v>
      </c>
      <c r="I101" s="2">
        <v>115.8</v>
      </c>
      <c r="J101" s="2">
        <v>133.19999999999999</v>
      </c>
      <c r="K101" s="2">
        <v>157.69999999999999</v>
      </c>
      <c r="L101" s="2">
        <v>154.19999999999999</v>
      </c>
      <c r="M101" s="2">
        <v>93.7</v>
      </c>
      <c r="N101" s="2">
        <v>126.6</v>
      </c>
      <c r="O101" s="2">
        <v>122.3</v>
      </c>
      <c r="P101" s="2">
        <v>133.1</v>
      </c>
      <c r="Q101" s="2">
        <v>131.80000000000001</v>
      </c>
      <c r="R101" s="2">
        <v>131.5</v>
      </c>
      <c r="S101" s="2">
        <v>131.1</v>
      </c>
      <c r="T101" s="2">
        <v>127.3</v>
      </c>
      <c r="U101" s="2">
        <v>130.6</v>
      </c>
      <c r="V101" s="2">
        <f>VLOOKUP($A101,'Impute housing Missing Value'!$A$1:$C$125,3,0)</f>
        <v>122.4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</row>
    <row r="102" spans="1:31" ht="15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123.6</v>
      </c>
      <c r="F102" s="2">
        <v>128.6</v>
      </c>
      <c r="G102" s="2">
        <v>115.9</v>
      </c>
      <c r="H102" s="2">
        <v>128.5</v>
      </c>
      <c r="I102" s="2">
        <v>109</v>
      </c>
      <c r="J102" s="2">
        <v>124.1</v>
      </c>
      <c r="K102" s="2">
        <v>165.8</v>
      </c>
      <c r="L102" s="2">
        <v>187.2</v>
      </c>
      <c r="M102" s="2">
        <v>89.4</v>
      </c>
      <c r="N102" s="2">
        <v>135.80000000000001</v>
      </c>
      <c r="O102" s="2">
        <v>119.4</v>
      </c>
      <c r="P102" s="2">
        <v>132.9</v>
      </c>
      <c r="Q102" s="2">
        <v>132.6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100.4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</row>
    <row r="103" spans="1:31" ht="26.5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125</v>
      </c>
      <c r="F103" s="2">
        <v>129.80000000000001</v>
      </c>
      <c r="G103" s="2">
        <v>118.9</v>
      </c>
      <c r="H103" s="2">
        <v>129.1</v>
      </c>
      <c r="I103" s="2">
        <v>113.3</v>
      </c>
      <c r="J103" s="2">
        <v>129</v>
      </c>
      <c r="K103" s="2">
        <v>160.4</v>
      </c>
      <c r="L103" s="2">
        <v>165.3</v>
      </c>
      <c r="M103" s="2">
        <v>92.3</v>
      </c>
      <c r="N103" s="2">
        <v>129.69999999999999</v>
      </c>
      <c r="O103" s="2">
        <v>121.1</v>
      </c>
      <c r="P103" s="2">
        <v>133</v>
      </c>
      <c r="Q103" s="2">
        <v>132.1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100.4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</row>
    <row r="104" spans="1:31" ht="26.5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126.1</v>
      </c>
      <c r="F104" s="2">
        <v>130.6</v>
      </c>
      <c r="G104" s="2">
        <v>121.7</v>
      </c>
      <c r="H104" s="2">
        <v>129.5</v>
      </c>
      <c r="I104" s="2">
        <v>117.8</v>
      </c>
      <c r="J104" s="2">
        <v>132.1</v>
      </c>
      <c r="K104" s="2">
        <v>155.19999999999999</v>
      </c>
      <c r="L104" s="2">
        <v>160.80000000000001</v>
      </c>
      <c r="M104" s="2">
        <v>94.5</v>
      </c>
      <c r="N104" s="2">
        <v>128.30000000000001</v>
      </c>
      <c r="O104" s="2">
        <v>123.1</v>
      </c>
      <c r="P104" s="2">
        <v>134.19999999999999</v>
      </c>
      <c r="Q104" s="2">
        <v>132.4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>
        <f>VLOOKUP($A104,'Impute housing Missing Value'!$A$1:$C$125,3,0)</f>
        <v>122.9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</row>
    <row r="105" spans="1:31" ht="26.5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</v>
      </c>
      <c r="F105" s="2">
        <v>129.80000000000001</v>
      </c>
      <c r="G105" s="2">
        <v>121.5</v>
      </c>
      <c r="H105" s="2">
        <v>128.6</v>
      </c>
      <c r="I105" s="2">
        <v>110</v>
      </c>
      <c r="J105" s="2">
        <v>123.7</v>
      </c>
      <c r="K105" s="2">
        <v>164.6</v>
      </c>
      <c r="L105" s="2">
        <v>191.6</v>
      </c>
      <c r="M105" s="2">
        <v>90.8</v>
      </c>
      <c r="N105" s="2">
        <v>137.1</v>
      </c>
      <c r="O105" s="2">
        <v>119.8</v>
      </c>
      <c r="P105" s="2">
        <v>133.69999999999999</v>
      </c>
      <c r="Q105" s="2">
        <v>133.30000000000001</v>
      </c>
      <c r="R105" s="2">
        <v>137.6</v>
      </c>
      <c r="S105" s="2">
        <v>125</v>
      </c>
      <c r="T105" s="2">
        <v>119.3</v>
      </c>
      <c r="U105" s="2">
        <v>124.2</v>
      </c>
      <c r="V105" s="2">
        <v>100.4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</row>
    <row r="106" spans="1:31" ht="26.5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125.4</v>
      </c>
      <c r="F106" s="2">
        <v>130.30000000000001</v>
      </c>
      <c r="G106" s="2">
        <v>121.6</v>
      </c>
      <c r="H106" s="2">
        <v>129.19999999999999</v>
      </c>
      <c r="I106" s="2">
        <v>114.9</v>
      </c>
      <c r="J106" s="2">
        <v>128.19999999999999</v>
      </c>
      <c r="K106" s="2">
        <v>158.4</v>
      </c>
      <c r="L106" s="2">
        <v>171.2</v>
      </c>
      <c r="M106" s="2">
        <v>93.3</v>
      </c>
      <c r="N106" s="2">
        <v>131.19999999999999</v>
      </c>
      <c r="O106" s="2">
        <v>121.7</v>
      </c>
      <c r="P106" s="2">
        <v>134</v>
      </c>
      <c r="Q106" s="2">
        <v>132.69999999999999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100.4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</row>
    <row r="107" spans="1:31" ht="26.5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126.3</v>
      </c>
      <c r="F107" s="2">
        <v>131.30000000000001</v>
      </c>
      <c r="G107" s="2">
        <v>123.3</v>
      </c>
      <c r="H107" s="2">
        <v>129.80000000000001</v>
      </c>
      <c r="I107" s="2">
        <v>118.3</v>
      </c>
      <c r="J107" s="2">
        <v>131.6</v>
      </c>
      <c r="K107" s="2">
        <v>145.5</v>
      </c>
      <c r="L107" s="2">
        <v>162.1</v>
      </c>
      <c r="M107" s="2">
        <v>95.4</v>
      </c>
      <c r="N107" s="2">
        <v>128.9</v>
      </c>
      <c r="O107" s="2">
        <v>123.3</v>
      </c>
      <c r="P107" s="2">
        <v>135.1</v>
      </c>
      <c r="Q107" s="2">
        <v>131.4</v>
      </c>
      <c r="R107" s="2">
        <v>133.1</v>
      </c>
      <c r="S107" s="2">
        <v>132.5</v>
      </c>
      <c r="T107" s="2">
        <v>128.5</v>
      </c>
      <c r="U107" s="2">
        <v>131.9</v>
      </c>
      <c r="V107" s="2">
        <f>VLOOKUP($A107,'Impute housing Missing Value'!$A$1:$C$125,3,0)</f>
        <v>122.4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</row>
    <row r="108" spans="1:31" ht="26.5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124.3</v>
      </c>
      <c r="F108" s="2">
        <v>131.69999999999999</v>
      </c>
      <c r="G108" s="2">
        <v>127.1</v>
      </c>
      <c r="H108" s="2">
        <v>128.6</v>
      </c>
      <c r="I108" s="2">
        <v>110</v>
      </c>
      <c r="J108" s="2">
        <v>120.8</v>
      </c>
      <c r="K108" s="2">
        <v>149</v>
      </c>
      <c r="L108" s="2">
        <v>190.1</v>
      </c>
      <c r="M108" s="2">
        <v>92.7</v>
      </c>
      <c r="N108" s="2">
        <v>138.6</v>
      </c>
      <c r="O108" s="2">
        <v>120.2</v>
      </c>
      <c r="P108" s="2">
        <v>134.19999999999999</v>
      </c>
      <c r="Q108" s="2">
        <v>131.5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100.4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</row>
    <row r="109" spans="1:31" ht="26.5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125.7</v>
      </c>
      <c r="F109" s="2">
        <v>131.4</v>
      </c>
      <c r="G109" s="2">
        <v>124.8</v>
      </c>
      <c r="H109" s="2">
        <v>129.4</v>
      </c>
      <c r="I109" s="2">
        <v>115.3</v>
      </c>
      <c r="J109" s="2">
        <v>126.6</v>
      </c>
      <c r="K109" s="2">
        <v>146.69999999999999</v>
      </c>
      <c r="L109" s="2">
        <v>171.5</v>
      </c>
      <c r="M109" s="2">
        <v>94.5</v>
      </c>
      <c r="N109" s="2">
        <v>132.1</v>
      </c>
      <c r="O109" s="2">
        <v>122</v>
      </c>
      <c r="P109" s="2">
        <v>134.69999999999999</v>
      </c>
      <c r="Q109" s="2">
        <v>131.4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100.4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</row>
    <row r="110" spans="1:31" ht="15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126.8</v>
      </c>
      <c r="F110" s="2">
        <v>133.19999999999999</v>
      </c>
      <c r="G110" s="2">
        <v>126.5</v>
      </c>
      <c r="H110" s="2">
        <v>130.30000000000001</v>
      </c>
      <c r="I110" s="2">
        <v>118.9</v>
      </c>
      <c r="J110" s="2">
        <v>131.6</v>
      </c>
      <c r="K110" s="2">
        <v>140.1</v>
      </c>
      <c r="L110" s="2">
        <v>163.80000000000001</v>
      </c>
      <c r="M110" s="2">
        <v>97.7</v>
      </c>
      <c r="N110" s="2">
        <v>129.6</v>
      </c>
      <c r="O110" s="2">
        <v>124.3</v>
      </c>
      <c r="P110" s="2">
        <v>135.9</v>
      </c>
      <c r="Q110" s="2">
        <v>131.4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>
        <f>VLOOKUP($A110,'Impute housing Missing Value'!$A$1:$C$125,3,0)</f>
        <v>123.4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</row>
    <row r="111" spans="1:31" ht="15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124.7</v>
      </c>
      <c r="F111" s="2">
        <v>135.9</v>
      </c>
      <c r="G111" s="2">
        <v>132</v>
      </c>
      <c r="H111" s="2">
        <v>129.19999999999999</v>
      </c>
      <c r="I111" s="2">
        <v>109.7</v>
      </c>
      <c r="J111" s="2">
        <v>119</v>
      </c>
      <c r="K111" s="2">
        <v>144.1</v>
      </c>
      <c r="L111" s="2">
        <v>184.2</v>
      </c>
      <c r="M111" s="2">
        <v>96.7</v>
      </c>
      <c r="N111" s="2">
        <v>139.5</v>
      </c>
      <c r="O111" s="2">
        <v>120.5</v>
      </c>
      <c r="P111" s="2">
        <v>134.69999999999999</v>
      </c>
      <c r="Q111" s="2">
        <v>131.19999999999999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100.4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</row>
    <row r="112" spans="1:31" ht="26.5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126.1</v>
      </c>
      <c r="F112" s="2">
        <v>134.1</v>
      </c>
      <c r="G112" s="2">
        <v>128.6</v>
      </c>
      <c r="H112" s="2">
        <v>129.9</v>
      </c>
      <c r="I112" s="2">
        <v>115.5</v>
      </c>
      <c r="J112" s="2">
        <v>125.7</v>
      </c>
      <c r="K112" s="2">
        <v>141.5</v>
      </c>
      <c r="L112" s="2">
        <v>170.7</v>
      </c>
      <c r="M112" s="2">
        <v>97.4</v>
      </c>
      <c r="N112" s="2">
        <v>132.9</v>
      </c>
      <c r="O112" s="2">
        <v>122.7</v>
      </c>
      <c r="P112" s="2">
        <v>135.30000000000001</v>
      </c>
      <c r="Q112" s="2">
        <v>131.30000000000001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100.4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</row>
    <row r="113" spans="1:31" ht="15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127.1</v>
      </c>
      <c r="F113" s="2">
        <v>133.69999999999999</v>
      </c>
      <c r="G113" s="2">
        <v>127.7</v>
      </c>
      <c r="H113" s="2">
        <v>130.69999999999999</v>
      </c>
      <c r="I113" s="2">
        <v>118.5</v>
      </c>
      <c r="J113" s="2">
        <v>130.4</v>
      </c>
      <c r="K113" s="2">
        <v>130.9</v>
      </c>
      <c r="L113" s="2">
        <v>162.80000000000001</v>
      </c>
      <c r="M113" s="2">
        <v>98.7</v>
      </c>
      <c r="N113" s="2">
        <v>130.6</v>
      </c>
      <c r="O113" s="2">
        <v>124.8</v>
      </c>
      <c r="P113" s="2">
        <v>136.4</v>
      </c>
      <c r="Q113" s="2">
        <v>130.30000000000001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>
        <f>VLOOKUP($A113,'Impute housing Missing Value'!$A$1:$C$125,3,0)</f>
        <v>124.4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</row>
    <row r="114" spans="1:31" ht="15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124.8</v>
      </c>
      <c r="F114" s="2">
        <v>135.1</v>
      </c>
      <c r="G114" s="2">
        <v>130.30000000000001</v>
      </c>
      <c r="H114" s="2">
        <v>129.6</v>
      </c>
      <c r="I114" s="2">
        <v>108.4</v>
      </c>
      <c r="J114" s="2">
        <v>118.6</v>
      </c>
      <c r="K114" s="2">
        <v>129.19999999999999</v>
      </c>
      <c r="L114" s="2">
        <v>176.4</v>
      </c>
      <c r="M114" s="2">
        <v>99.1</v>
      </c>
      <c r="N114" s="2">
        <v>139.69999999999999</v>
      </c>
      <c r="O114" s="2">
        <v>120.6</v>
      </c>
      <c r="P114" s="2">
        <v>135.19999999999999</v>
      </c>
      <c r="Q114" s="2">
        <v>129.1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100.4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</row>
    <row r="115" spans="1:31" ht="26.5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126.4</v>
      </c>
      <c r="F115" s="2">
        <v>134.19999999999999</v>
      </c>
      <c r="G115" s="2">
        <v>128.69999999999999</v>
      </c>
      <c r="H115" s="2">
        <v>130.30000000000001</v>
      </c>
      <c r="I115" s="2">
        <v>114.8</v>
      </c>
      <c r="J115" s="2">
        <v>124.9</v>
      </c>
      <c r="K115" s="2">
        <v>130.30000000000001</v>
      </c>
      <c r="L115" s="2">
        <v>167.4</v>
      </c>
      <c r="M115" s="2">
        <v>98.8</v>
      </c>
      <c r="N115" s="2">
        <v>133.6</v>
      </c>
      <c r="O115" s="2">
        <v>123</v>
      </c>
      <c r="P115" s="2">
        <v>135.80000000000001</v>
      </c>
      <c r="Q115" s="2">
        <v>129.9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100.4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</row>
    <row r="116" spans="1:31" ht="15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127.3</v>
      </c>
      <c r="F116" s="2">
        <v>134.4</v>
      </c>
      <c r="G116" s="2">
        <v>125.1</v>
      </c>
      <c r="H116" s="2">
        <v>130.5</v>
      </c>
      <c r="I116" s="2">
        <v>118.3</v>
      </c>
      <c r="J116" s="2">
        <v>131.69999999999999</v>
      </c>
      <c r="K116" s="2">
        <v>130.69999999999999</v>
      </c>
      <c r="L116" s="2">
        <v>161.19999999999999</v>
      </c>
      <c r="M116" s="2">
        <v>100.4</v>
      </c>
      <c r="N116" s="2">
        <v>130.80000000000001</v>
      </c>
      <c r="O116" s="2">
        <v>124.9</v>
      </c>
      <c r="P116" s="2">
        <v>137</v>
      </c>
      <c r="Q116" s="2">
        <v>130.4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>
        <f>VLOOKUP($A116,'Impute housing Missing Value'!$A$1:$C$125,3,0)</f>
        <v>124.9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</row>
    <row r="117" spans="1:31" ht="15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124.8</v>
      </c>
      <c r="F117" s="2">
        <v>136.30000000000001</v>
      </c>
      <c r="G117" s="2">
        <v>123.7</v>
      </c>
      <c r="H117" s="2">
        <v>129.69999999999999</v>
      </c>
      <c r="I117" s="2">
        <v>107.9</v>
      </c>
      <c r="J117" s="2">
        <v>119.9</v>
      </c>
      <c r="K117" s="2">
        <v>128.1</v>
      </c>
      <c r="L117" s="2">
        <v>170.3</v>
      </c>
      <c r="M117" s="2">
        <v>101.8</v>
      </c>
      <c r="N117" s="2">
        <v>140.1</v>
      </c>
      <c r="O117" s="2">
        <v>120.7</v>
      </c>
      <c r="P117" s="2">
        <v>135.4</v>
      </c>
      <c r="Q117" s="2">
        <v>128.9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100.4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</row>
    <row r="118" spans="1:31" ht="26.5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126.5</v>
      </c>
      <c r="F118" s="2">
        <v>135.1</v>
      </c>
      <c r="G118" s="2">
        <v>124.6</v>
      </c>
      <c r="H118" s="2">
        <v>130.19999999999999</v>
      </c>
      <c r="I118" s="2">
        <v>114.5</v>
      </c>
      <c r="J118" s="2">
        <v>126.2</v>
      </c>
      <c r="K118" s="2">
        <v>129.80000000000001</v>
      </c>
      <c r="L118" s="2">
        <v>164.3</v>
      </c>
      <c r="M118" s="2">
        <v>100.9</v>
      </c>
      <c r="N118" s="2">
        <v>133.9</v>
      </c>
      <c r="O118" s="2">
        <v>123.1</v>
      </c>
      <c r="P118" s="2">
        <v>136.30000000000001</v>
      </c>
      <c r="Q118" s="2">
        <v>129.80000000000001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100.4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</row>
    <row r="119" spans="1:31" ht="15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127.4</v>
      </c>
      <c r="F119" s="2">
        <v>135.4</v>
      </c>
      <c r="G119" s="2">
        <v>123.4</v>
      </c>
      <c r="H119" s="2">
        <v>131.30000000000001</v>
      </c>
      <c r="I119" s="2">
        <v>118.2</v>
      </c>
      <c r="J119" s="2">
        <v>138.1</v>
      </c>
      <c r="K119" s="2">
        <v>134.1</v>
      </c>
      <c r="L119" s="2">
        <v>162.69999999999999</v>
      </c>
      <c r="M119" s="2">
        <v>105</v>
      </c>
      <c r="N119" s="2">
        <v>131.4</v>
      </c>
      <c r="O119" s="2">
        <v>125.4</v>
      </c>
      <c r="P119" s="2">
        <v>137.4</v>
      </c>
      <c r="Q119" s="2">
        <v>131.80000000000001</v>
      </c>
      <c r="R119" s="2">
        <v>135.5</v>
      </c>
      <c r="S119" s="2">
        <v>135</v>
      </c>
      <c r="T119" s="2">
        <v>130.6</v>
      </c>
      <c r="U119" s="2">
        <v>134.4</v>
      </c>
      <c r="V119" s="2">
        <f>VLOOKUP($A119,'Impute housing Missing Value'!$A$1:$C$125,3,0)</f>
        <v>125.6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</row>
    <row r="120" spans="1:31" ht="15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124.9</v>
      </c>
      <c r="F120" s="2">
        <v>139.30000000000001</v>
      </c>
      <c r="G120" s="2">
        <v>119.9</v>
      </c>
      <c r="H120" s="2">
        <v>130.19999999999999</v>
      </c>
      <c r="I120" s="2">
        <v>108.9</v>
      </c>
      <c r="J120" s="2">
        <v>131.1</v>
      </c>
      <c r="K120" s="2">
        <v>136.80000000000001</v>
      </c>
      <c r="L120" s="2">
        <v>176.9</v>
      </c>
      <c r="M120" s="2">
        <v>109.1</v>
      </c>
      <c r="N120" s="2">
        <v>140.4</v>
      </c>
      <c r="O120" s="2">
        <v>121.1</v>
      </c>
      <c r="P120" s="2">
        <v>135.9</v>
      </c>
      <c r="Q120" s="2">
        <v>131.80000000000001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100.4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</row>
    <row r="121" spans="1:31" ht="26.5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126.6</v>
      </c>
      <c r="F121" s="2">
        <v>136.80000000000001</v>
      </c>
      <c r="G121" s="2">
        <v>122</v>
      </c>
      <c r="H121" s="2">
        <v>130.9</v>
      </c>
      <c r="I121" s="2">
        <v>114.8</v>
      </c>
      <c r="J121" s="2">
        <v>134.80000000000001</v>
      </c>
      <c r="K121" s="2">
        <v>135</v>
      </c>
      <c r="L121" s="2">
        <v>167.5</v>
      </c>
      <c r="M121" s="2">
        <v>106.4</v>
      </c>
      <c r="N121" s="2">
        <v>134.4</v>
      </c>
      <c r="O121" s="2">
        <v>123.6</v>
      </c>
      <c r="P121" s="2">
        <v>136.69999999999999</v>
      </c>
      <c r="Q121" s="2">
        <v>131.80000000000001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100.4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</row>
    <row r="122" spans="1:31" ht="15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127.6</v>
      </c>
      <c r="F122" s="2">
        <v>137.5</v>
      </c>
      <c r="G122" s="2">
        <v>124.4</v>
      </c>
      <c r="H122" s="2">
        <v>132.4</v>
      </c>
      <c r="I122" s="2">
        <v>118.2</v>
      </c>
      <c r="J122" s="2">
        <v>138.1</v>
      </c>
      <c r="K122" s="2">
        <v>141.80000000000001</v>
      </c>
      <c r="L122" s="2">
        <v>166</v>
      </c>
      <c r="M122" s="2">
        <v>107.5</v>
      </c>
      <c r="N122" s="2">
        <v>132.19999999999999</v>
      </c>
      <c r="O122" s="2">
        <v>126.1</v>
      </c>
      <c r="P122" s="2">
        <v>138.30000000000001</v>
      </c>
      <c r="Q122" s="2">
        <v>133.6</v>
      </c>
      <c r="R122" s="2">
        <v>136</v>
      </c>
      <c r="S122" s="2">
        <v>135.4</v>
      </c>
      <c r="T122" s="2">
        <v>131.1</v>
      </c>
      <c r="U122" s="2">
        <v>134.80000000000001</v>
      </c>
      <c r="V122" s="2">
        <f>VLOOKUP($A122,'Impute housing Missing Value'!$A$1:$C$125,3,0)</f>
        <v>126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</row>
    <row r="123" spans="1:31" ht="15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125</v>
      </c>
      <c r="F123" s="2">
        <v>142.1</v>
      </c>
      <c r="G123" s="2">
        <v>127</v>
      </c>
      <c r="H123" s="2">
        <v>130.4</v>
      </c>
      <c r="I123" s="2">
        <v>109.6</v>
      </c>
      <c r="J123" s="2">
        <v>133.5</v>
      </c>
      <c r="K123" s="2">
        <v>151.4</v>
      </c>
      <c r="L123" s="2">
        <v>182.8</v>
      </c>
      <c r="M123" s="2">
        <v>111.1</v>
      </c>
      <c r="N123" s="2">
        <v>141.5</v>
      </c>
      <c r="O123" s="2">
        <v>121.5</v>
      </c>
      <c r="P123" s="2">
        <v>136.30000000000001</v>
      </c>
      <c r="Q123" s="2">
        <v>134.6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100.4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</row>
    <row r="124" spans="1:31" ht="26.5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126.8</v>
      </c>
      <c r="F124" s="2">
        <v>139.1</v>
      </c>
      <c r="G124" s="2">
        <v>125.4</v>
      </c>
      <c r="H124" s="2">
        <v>131.69999999999999</v>
      </c>
      <c r="I124" s="2">
        <v>115</v>
      </c>
      <c r="J124" s="2">
        <v>136</v>
      </c>
      <c r="K124" s="2">
        <v>145.1</v>
      </c>
      <c r="L124" s="2">
        <v>171.7</v>
      </c>
      <c r="M124" s="2">
        <v>108.7</v>
      </c>
      <c r="N124" s="2">
        <v>135.30000000000001</v>
      </c>
      <c r="O124" s="2">
        <v>124.2</v>
      </c>
      <c r="P124" s="2">
        <v>137.4</v>
      </c>
      <c r="Q124" s="2">
        <v>134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100.4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</row>
    <row r="125" spans="1:31" ht="15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128.6</v>
      </c>
      <c r="F125" s="2">
        <v>138.6</v>
      </c>
      <c r="G125" s="2">
        <v>126.6</v>
      </c>
      <c r="H125" s="2">
        <v>133.6</v>
      </c>
      <c r="I125" s="2">
        <v>118.6</v>
      </c>
      <c r="J125" s="2">
        <v>137.4</v>
      </c>
      <c r="K125" s="2">
        <v>152.5</v>
      </c>
      <c r="L125" s="2">
        <v>169.2</v>
      </c>
      <c r="M125" s="2">
        <v>108.8</v>
      </c>
      <c r="N125" s="2">
        <v>133.1</v>
      </c>
      <c r="O125" s="2">
        <v>126.4</v>
      </c>
      <c r="P125" s="2">
        <v>139.19999999999999</v>
      </c>
      <c r="Q125" s="2">
        <v>136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>
        <f>VLOOKUP($A125,'Impute housing Missing Value'!$A$1:$C$125,3,0)</f>
        <v>125.5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</row>
    <row r="126" spans="1:31" ht="15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125.9</v>
      </c>
      <c r="F126" s="2">
        <v>143.9</v>
      </c>
      <c r="G126" s="2">
        <v>130.9</v>
      </c>
      <c r="H126" s="2">
        <v>131</v>
      </c>
      <c r="I126" s="2">
        <v>110.2</v>
      </c>
      <c r="J126" s="2">
        <v>135.5</v>
      </c>
      <c r="K126" s="2">
        <v>173.7</v>
      </c>
      <c r="L126" s="2">
        <v>184.4</v>
      </c>
      <c r="M126" s="2">
        <v>112</v>
      </c>
      <c r="N126" s="2">
        <v>142.80000000000001</v>
      </c>
      <c r="O126" s="2">
        <v>121.6</v>
      </c>
      <c r="P126" s="2">
        <v>136.9</v>
      </c>
      <c r="Q126" s="2">
        <v>138.19999999999999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100.4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</row>
    <row r="127" spans="1:31" ht="26.5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127.7</v>
      </c>
      <c r="F127" s="2">
        <v>140.5</v>
      </c>
      <c r="G127" s="2">
        <v>128.30000000000001</v>
      </c>
      <c r="H127" s="2">
        <v>132.6</v>
      </c>
      <c r="I127" s="2">
        <v>115.5</v>
      </c>
      <c r="J127" s="2">
        <v>136.5</v>
      </c>
      <c r="K127" s="2">
        <v>159.69999999999999</v>
      </c>
      <c r="L127" s="2">
        <v>174.3</v>
      </c>
      <c r="M127" s="2">
        <v>109.9</v>
      </c>
      <c r="N127" s="2">
        <v>136.30000000000001</v>
      </c>
      <c r="O127" s="2">
        <v>124.4</v>
      </c>
      <c r="P127" s="2">
        <v>138.1</v>
      </c>
      <c r="Q127" s="2">
        <v>136.80000000000001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100.4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</row>
    <row r="128" spans="1:31" ht="15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129.30000000000001</v>
      </c>
      <c r="F128" s="2">
        <v>139.5</v>
      </c>
      <c r="G128" s="2">
        <v>129.6</v>
      </c>
      <c r="H128" s="2">
        <v>134.5</v>
      </c>
      <c r="I128" s="2">
        <v>119.5</v>
      </c>
      <c r="J128" s="2">
        <v>138.5</v>
      </c>
      <c r="K128" s="2">
        <v>158.19999999999999</v>
      </c>
      <c r="L128" s="2">
        <v>171.8</v>
      </c>
      <c r="M128" s="2">
        <v>110.3</v>
      </c>
      <c r="N128" s="2">
        <v>134.30000000000001</v>
      </c>
      <c r="O128" s="2">
        <v>127.3</v>
      </c>
      <c r="P128" s="2">
        <v>139.9</v>
      </c>
      <c r="Q128" s="2">
        <v>137.6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>
        <f>VLOOKUP($A128,'Impute housing Missing Value'!$A$1:$C$125,3,0)</f>
        <v>126.4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</row>
    <row r="129" spans="1:31" ht="15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126.8</v>
      </c>
      <c r="F129" s="2">
        <v>144.19999999999999</v>
      </c>
      <c r="G129" s="2">
        <v>136.6</v>
      </c>
      <c r="H129" s="2">
        <v>131.80000000000001</v>
      </c>
      <c r="I129" s="2">
        <v>111</v>
      </c>
      <c r="J129" s="2">
        <v>137</v>
      </c>
      <c r="K129" s="2">
        <v>179.5</v>
      </c>
      <c r="L129" s="2">
        <v>188.4</v>
      </c>
      <c r="M129" s="2">
        <v>113.3</v>
      </c>
      <c r="N129" s="2">
        <v>143.9</v>
      </c>
      <c r="O129" s="2">
        <v>121.7</v>
      </c>
      <c r="P129" s="2">
        <v>137.5</v>
      </c>
      <c r="Q129" s="2">
        <v>139.80000000000001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100.5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</row>
    <row r="130" spans="1:31" ht="26.5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128.5</v>
      </c>
      <c r="F130" s="2">
        <v>141.19999999999999</v>
      </c>
      <c r="G130" s="2">
        <v>132.30000000000001</v>
      </c>
      <c r="H130" s="2">
        <v>133.5</v>
      </c>
      <c r="I130" s="2">
        <v>116.4</v>
      </c>
      <c r="J130" s="2">
        <v>137.80000000000001</v>
      </c>
      <c r="K130" s="2">
        <v>165.4</v>
      </c>
      <c r="L130" s="2">
        <v>177.4</v>
      </c>
      <c r="M130" s="2">
        <v>111.3</v>
      </c>
      <c r="N130" s="2">
        <v>137.5</v>
      </c>
      <c r="O130" s="2">
        <v>125</v>
      </c>
      <c r="P130" s="2">
        <v>138.80000000000001</v>
      </c>
      <c r="Q130" s="2">
        <v>138.4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106.6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</row>
    <row r="131" spans="1:31" ht="15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130.1</v>
      </c>
      <c r="F131" s="2">
        <v>138.80000000000001</v>
      </c>
      <c r="G131" s="2">
        <v>130.30000000000001</v>
      </c>
      <c r="H131" s="2">
        <v>135.30000000000001</v>
      </c>
      <c r="I131" s="2">
        <v>119.9</v>
      </c>
      <c r="J131" s="2">
        <v>140.19999999999999</v>
      </c>
      <c r="K131" s="2">
        <v>156.9</v>
      </c>
      <c r="L131" s="2">
        <v>172.2</v>
      </c>
      <c r="M131" s="2">
        <v>112.1</v>
      </c>
      <c r="N131" s="2">
        <v>134.9</v>
      </c>
      <c r="O131" s="2">
        <v>128.1</v>
      </c>
      <c r="P131" s="2">
        <v>140.69999999999999</v>
      </c>
      <c r="Q131" s="2">
        <v>138</v>
      </c>
      <c r="R131" s="2">
        <v>138.9</v>
      </c>
      <c r="S131" s="2">
        <v>137.80000000000001</v>
      </c>
      <c r="T131" s="2">
        <v>133</v>
      </c>
      <c r="U131" s="2">
        <v>137.1</v>
      </c>
      <c r="V131" s="2">
        <f>VLOOKUP($A131,'Impute housing Missing Value'!$A$1:$C$125,3,0)</f>
        <v>127.3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</row>
    <row r="132" spans="1:31" ht="15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127.6</v>
      </c>
      <c r="F132" s="2">
        <v>140.30000000000001</v>
      </c>
      <c r="G132" s="2">
        <v>133.69999999999999</v>
      </c>
      <c r="H132" s="2">
        <v>132.19999999999999</v>
      </c>
      <c r="I132" s="2">
        <v>111.8</v>
      </c>
      <c r="J132" s="2">
        <v>135.80000000000001</v>
      </c>
      <c r="K132" s="2">
        <v>163.5</v>
      </c>
      <c r="L132" s="2">
        <v>182.3</v>
      </c>
      <c r="M132" s="2">
        <v>114.6</v>
      </c>
      <c r="N132" s="2">
        <v>144.6</v>
      </c>
      <c r="O132" s="2">
        <v>121.9</v>
      </c>
      <c r="P132" s="2">
        <v>138.1</v>
      </c>
      <c r="Q132" s="2">
        <v>137.6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108.9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</row>
    <row r="133" spans="1:31" ht="26.5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129.30000000000001</v>
      </c>
      <c r="F133" s="2">
        <v>139.30000000000001</v>
      </c>
      <c r="G133" s="2">
        <v>131.6</v>
      </c>
      <c r="H133" s="2">
        <v>134.1</v>
      </c>
      <c r="I133" s="2">
        <v>116.9</v>
      </c>
      <c r="J133" s="2">
        <v>138.1</v>
      </c>
      <c r="K133" s="2">
        <v>159.1</v>
      </c>
      <c r="L133" s="2">
        <v>175.6</v>
      </c>
      <c r="M133" s="2">
        <v>112.9</v>
      </c>
      <c r="N133" s="2">
        <v>138.1</v>
      </c>
      <c r="O133" s="2">
        <v>125.5</v>
      </c>
      <c r="P133" s="2">
        <v>139.5</v>
      </c>
      <c r="Q133" s="2">
        <v>137.9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109.7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</row>
    <row r="134" spans="1:31" ht="26.5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130.80000000000001</v>
      </c>
      <c r="F134" s="2">
        <v>138.19999999999999</v>
      </c>
      <c r="G134" s="2">
        <v>130.5</v>
      </c>
      <c r="H134" s="2">
        <v>135.5</v>
      </c>
      <c r="I134" s="2">
        <v>120.2</v>
      </c>
      <c r="J134" s="2">
        <v>139.19999999999999</v>
      </c>
      <c r="K134" s="2">
        <v>149.5</v>
      </c>
      <c r="L134" s="2">
        <v>170.4</v>
      </c>
      <c r="M134" s="2">
        <v>113.1</v>
      </c>
      <c r="N134" s="2">
        <v>135.80000000000001</v>
      </c>
      <c r="O134" s="2">
        <v>128.80000000000001</v>
      </c>
      <c r="P134" s="2">
        <v>141.5</v>
      </c>
      <c r="Q134" s="2">
        <v>137.19999999999999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>
        <f>VLOOKUP($A134,'Impute housing Missing Value'!$A$1:$C$125,3,0)</f>
        <v>127.9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</row>
    <row r="135" spans="1:31" ht="26.5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128.1</v>
      </c>
      <c r="F135" s="2">
        <v>137.69999999999999</v>
      </c>
      <c r="G135" s="2">
        <v>130.6</v>
      </c>
      <c r="H135" s="2">
        <v>132.6</v>
      </c>
      <c r="I135" s="2">
        <v>111.9</v>
      </c>
      <c r="J135" s="2">
        <v>132.5</v>
      </c>
      <c r="K135" s="2">
        <v>152.9</v>
      </c>
      <c r="L135" s="2">
        <v>173.6</v>
      </c>
      <c r="M135" s="2">
        <v>115.1</v>
      </c>
      <c r="N135" s="2">
        <v>144.80000000000001</v>
      </c>
      <c r="O135" s="2">
        <v>122.1</v>
      </c>
      <c r="P135" s="2">
        <v>138.80000000000001</v>
      </c>
      <c r="Q135" s="2">
        <v>135.69999999999999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111.1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</row>
    <row r="136" spans="1:31" ht="26.5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129.9</v>
      </c>
      <c r="F136" s="2">
        <v>138</v>
      </c>
      <c r="G136" s="2">
        <v>130.5</v>
      </c>
      <c r="H136" s="2">
        <v>134.4</v>
      </c>
      <c r="I136" s="2">
        <v>117.2</v>
      </c>
      <c r="J136" s="2">
        <v>136.1</v>
      </c>
      <c r="K136" s="2">
        <v>150.69999999999999</v>
      </c>
      <c r="L136" s="2">
        <v>171.5</v>
      </c>
      <c r="M136" s="2">
        <v>113.8</v>
      </c>
      <c r="N136" s="2">
        <v>138.80000000000001</v>
      </c>
      <c r="O136" s="2">
        <v>126</v>
      </c>
      <c r="P136" s="2">
        <v>140.19999999999999</v>
      </c>
      <c r="Q136" s="2">
        <v>136.6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110.7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</row>
    <row r="137" spans="1:31" ht="15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131.30000000000001</v>
      </c>
      <c r="F137" s="2">
        <v>137.6</v>
      </c>
      <c r="G137" s="2">
        <v>130.1</v>
      </c>
      <c r="H137" s="2">
        <v>136</v>
      </c>
      <c r="I137" s="2">
        <v>120.8</v>
      </c>
      <c r="J137" s="2">
        <v>138.4</v>
      </c>
      <c r="K137" s="2">
        <v>149.19999999999999</v>
      </c>
      <c r="L137" s="2">
        <v>170.2</v>
      </c>
      <c r="M137" s="2">
        <v>113.4</v>
      </c>
      <c r="N137" s="2">
        <v>136.30000000000001</v>
      </c>
      <c r="O137" s="2">
        <v>128.69999999999999</v>
      </c>
      <c r="P137" s="2">
        <v>142.4</v>
      </c>
      <c r="Q137" s="2">
        <v>137.4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>
        <f>VLOOKUP($A137,'Impute housing Missing Value'!$A$1:$C$125,3,0)</f>
        <v>128.69999999999999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</row>
    <row r="138" spans="1:31" ht="15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128.69999999999999</v>
      </c>
      <c r="F138" s="2">
        <v>138.4</v>
      </c>
      <c r="G138" s="2">
        <v>130.30000000000001</v>
      </c>
      <c r="H138" s="2">
        <v>132.69999999999999</v>
      </c>
      <c r="I138" s="2">
        <v>112.5</v>
      </c>
      <c r="J138" s="2">
        <v>130.4</v>
      </c>
      <c r="K138" s="2">
        <v>155.1</v>
      </c>
      <c r="L138" s="2">
        <v>175.7</v>
      </c>
      <c r="M138" s="2">
        <v>115.4</v>
      </c>
      <c r="N138" s="2">
        <v>145.30000000000001</v>
      </c>
      <c r="O138" s="2">
        <v>122.5</v>
      </c>
      <c r="P138" s="2">
        <v>139.6</v>
      </c>
      <c r="Q138" s="2">
        <v>136.30000000000001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112.5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</row>
    <row r="139" spans="1:31" ht="26.5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130.5</v>
      </c>
      <c r="F139" s="2">
        <v>137.9</v>
      </c>
      <c r="G139" s="2">
        <v>130.19999999999999</v>
      </c>
      <c r="H139" s="2">
        <v>134.80000000000001</v>
      </c>
      <c r="I139" s="2">
        <v>117.8</v>
      </c>
      <c r="J139" s="2">
        <v>134.69999999999999</v>
      </c>
      <c r="K139" s="2">
        <v>151.19999999999999</v>
      </c>
      <c r="L139" s="2">
        <v>172.1</v>
      </c>
      <c r="M139" s="2">
        <v>114.1</v>
      </c>
      <c r="N139" s="2">
        <v>139.30000000000001</v>
      </c>
      <c r="O139" s="2">
        <v>126.1</v>
      </c>
      <c r="P139" s="2">
        <v>141.1</v>
      </c>
      <c r="Q139" s="2">
        <v>137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113.2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</row>
    <row r="140" spans="1:31" ht="26.5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132</v>
      </c>
      <c r="F140" s="2">
        <v>137.4</v>
      </c>
      <c r="G140" s="2">
        <v>130.6</v>
      </c>
      <c r="H140" s="2">
        <v>136.19999999999999</v>
      </c>
      <c r="I140" s="2">
        <v>121.1</v>
      </c>
      <c r="J140" s="2">
        <v>136.9</v>
      </c>
      <c r="K140" s="2">
        <v>141.80000000000001</v>
      </c>
      <c r="L140" s="2">
        <v>170</v>
      </c>
      <c r="M140" s="2">
        <v>113.4</v>
      </c>
      <c r="N140" s="2">
        <v>136.80000000000001</v>
      </c>
      <c r="O140" s="2">
        <v>128.69999999999999</v>
      </c>
      <c r="P140" s="2">
        <v>143.1</v>
      </c>
      <c r="Q140" s="2">
        <v>136.6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>
        <f>VLOOKUP($A140,'Impute housing Missing Value'!$A$1:$C$125,3,0)</f>
        <v>129.1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</row>
    <row r="141" spans="1:31" ht="26.5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130.19999999999999</v>
      </c>
      <c r="F141" s="2">
        <v>138.5</v>
      </c>
      <c r="G141" s="2">
        <v>134.1</v>
      </c>
      <c r="H141" s="2">
        <v>132.9</v>
      </c>
      <c r="I141" s="2">
        <v>112.6</v>
      </c>
      <c r="J141" s="2">
        <v>130.80000000000001</v>
      </c>
      <c r="K141" s="2">
        <v>142</v>
      </c>
      <c r="L141" s="2">
        <v>174.9</v>
      </c>
      <c r="M141" s="2">
        <v>115.6</v>
      </c>
      <c r="N141" s="2">
        <v>145.4</v>
      </c>
      <c r="O141" s="2">
        <v>122.7</v>
      </c>
      <c r="P141" s="2">
        <v>140.30000000000001</v>
      </c>
      <c r="Q141" s="2">
        <v>135.19999999999999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114.3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</row>
    <row r="142" spans="1:31" ht="26.5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131.4</v>
      </c>
      <c r="F142" s="2">
        <v>137.80000000000001</v>
      </c>
      <c r="G142" s="2">
        <v>132</v>
      </c>
      <c r="H142" s="2">
        <v>135</v>
      </c>
      <c r="I142" s="2">
        <v>118</v>
      </c>
      <c r="J142" s="2">
        <v>134.1</v>
      </c>
      <c r="K142" s="2">
        <v>141.9</v>
      </c>
      <c r="L142" s="2">
        <v>171.7</v>
      </c>
      <c r="M142" s="2">
        <v>114.1</v>
      </c>
      <c r="N142" s="2">
        <v>139.69999999999999</v>
      </c>
      <c r="O142" s="2">
        <v>126.2</v>
      </c>
      <c r="P142" s="2">
        <v>141.80000000000001</v>
      </c>
      <c r="Q142" s="2">
        <v>136.1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113.9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</row>
    <row r="143" spans="1:31" ht="26.5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132.6</v>
      </c>
      <c r="F143" s="2">
        <v>137.30000000000001</v>
      </c>
      <c r="G143" s="2">
        <v>131.6</v>
      </c>
      <c r="H143" s="2">
        <v>136.30000000000001</v>
      </c>
      <c r="I143" s="2">
        <v>121.6</v>
      </c>
      <c r="J143" s="2">
        <v>135.6</v>
      </c>
      <c r="K143" s="2">
        <v>127.5</v>
      </c>
      <c r="L143" s="2">
        <v>167.9</v>
      </c>
      <c r="M143" s="2">
        <v>113.8</v>
      </c>
      <c r="N143" s="2">
        <v>137.5</v>
      </c>
      <c r="O143" s="2">
        <v>129.1</v>
      </c>
      <c r="P143" s="2">
        <v>143.6</v>
      </c>
      <c r="Q143" s="2">
        <v>134.69999999999999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>
        <f>VLOOKUP($A143,'Impute housing Missing Value'!$A$1:$C$125,3,0)</f>
        <v>128.5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</row>
    <row r="144" spans="1:31" ht="26.5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131.6</v>
      </c>
      <c r="F144" s="2">
        <v>138.19999999999999</v>
      </c>
      <c r="G144" s="2">
        <v>134.9</v>
      </c>
      <c r="H144" s="2">
        <v>133.1</v>
      </c>
      <c r="I144" s="2">
        <v>113.5</v>
      </c>
      <c r="J144" s="2">
        <v>129.30000000000001</v>
      </c>
      <c r="K144" s="2">
        <v>121.1</v>
      </c>
      <c r="L144" s="2">
        <v>170.3</v>
      </c>
      <c r="M144" s="2">
        <v>115.5</v>
      </c>
      <c r="N144" s="2">
        <v>145.5</v>
      </c>
      <c r="O144" s="2">
        <v>123.1</v>
      </c>
      <c r="P144" s="2">
        <v>140.9</v>
      </c>
      <c r="Q144" s="2">
        <v>132.80000000000001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115.5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</row>
    <row r="145" spans="1:31" ht="26.5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132.30000000000001</v>
      </c>
      <c r="F145" s="2">
        <v>137.6</v>
      </c>
      <c r="G145" s="2">
        <v>132.9</v>
      </c>
      <c r="H145" s="2">
        <v>135.1</v>
      </c>
      <c r="I145" s="2">
        <v>118.6</v>
      </c>
      <c r="J145" s="2">
        <v>132.69999999999999</v>
      </c>
      <c r="K145" s="2">
        <v>125.3</v>
      </c>
      <c r="L145" s="2">
        <v>168.7</v>
      </c>
      <c r="M145" s="2">
        <v>114.4</v>
      </c>
      <c r="N145" s="2">
        <v>140.19999999999999</v>
      </c>
      <c r="O145" s="2">
        <v>126.6</v>
      </c>
      <c r="P145" s="2">
        <v>142.30000000000001</v>
      </c>
      <c r="Q145" s="2">
        <v>134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116.1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</row>
    <row r="146" spans="1:31" ht="15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133.1</v>
      </c>
      <c r="F146" s="2">
        <v>137.80000000000001</v>
      </c>
      <c r="G146" s="2">
        <v>131.9</v>
      </c>
      <c r="H146" s="2">
        <v>136.69999999999999</v>
      </c>
      <c r="I146" s="2">
        <v>122</v>
      </c>
      <c r="J146" s="2">
        <v>136</v>
      </c>
      <c r="K146" s="2">
        <v>119.8</v>
      </c>
      <c r="L146" s="2">
        <v>161.69999999999999</v>
      </c>
      <c r="M146" s="2">
        <v>114.8</v>
      </c>
      <c r="N146" s="2">
        <v>136.9</v>
      </c>
      <c r="O146" s="2">
        <v>129</v>
      </c>
      <c r="P146" s="2">
        <v>143.9</v>
      </c>
      <c r="Q146" s="2">
        <v>133.69999999999999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>
        <f>VLOOKUP($A146,'Impute housing Missing Value'!$A$1:$C$125,3,0)</f>
        <v>129.6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</row>
    <row r="147" spans="1:31" ht="15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132.19999999999999</v>
      </c>
      <c r="F147" s="2">
        <v>138.9</v>
      </c>
      <c r="G147" s="2">
        <v>132.6</v>
      </c>
      <c r="H147" s="2">
        <v>133.1</v>
      </c>
      <c r="I147" s="2">
        <v>114</v>
      </c>
      <c r="J147" s="2">
        <v>129.6</v>
      </c>
      <c r="K147" s="2">
        <v>118.7</v>
      </c>
      <c r="L147" s="2">
        <v>155.1</v>
      </c>
      <c r="M147" s="2">
        <v>117.3</v>
      </c>
      <c r="N147" s="2">
        <v>144.9</v>
      </c>
      <c r="O147" s="2">
        <v>123.2</v>
      </c>
      <c r="P147" s="2">
        <v>141.6</v>
      </c>
      <c r="Q147" s="2">
        <v>132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117.1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</row>
    <row r="148" spans="1:31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132.80000000000001</v>
      </c>
      <c r="F148" s="2">
        <v>138.19999999999999</v>
      </c>
      <c r="G148" s="2">
        <v>132.19999999999999</v>
      </c>
      <c r="H148" s="2">
        <v>135.4</v>
      </c>
      <c r="I148" s="2">
        <v>119.1</v>
      </c>
      <c r="J148" s="2">
        <v>133</v>
      </c>
      <c r="K148" s="2">
        <v>119.4</v>
      </c>
      <c r="L148" s="2">
        <v>159.5</v>
      </c>
      <c r="M148" s="2">
        <v>115.6</v>
      </c>
      <c r="N148" s="2">
        <v>139.6</v>
      </c>
      <c r="O148" s="2">
        <v>126.6</v>
      </c>
      <c r="P148" s="2">
        <v>142.80000000000001</v>
      </c>
      <c r="Q148" s="2">
        <v>133.1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116.5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</row>
    <row r="149" spans="1:31" ht="15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133.30000000000001</v>
      </c>
      <c r="F149" s="2">
        <v>138.30000000000001</v>
      </c>
      <c r="G149" s="2">
        <v>129.30000000000001</v>
      </c>
      <c r="H149" s="2">
        <v>137.19999999999999</v>
      </c>
      <c r="I149" s="2">
        <v>122.1</v>
      </c>
      <c r="J149" s="2">
        <v>138.69999999999999</v>
      </c>
      <c r="K149" s="2">
        <v>119.1</v>
      </c>
      <c r="L149" s="2">
        <v>156.9</v>
      </c>
      <c r="M149" s="2">
        <v>116.2</v>
      </c>
      <c r="N149" s="2">
        <v>136</v>
      </c>
      <c r="O149" s="2">
        <v>129.4</v>
      </c>
      <c r="P149" s="2">
        <v>144.4</v>
      </c>
      <c r="Q149" s="2">
        <v>133.6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>
        <f>VLOOKUP($A149,'Impute housing Missing Value'!$A$1:$C$125,3,0)</f>
        <v>130.5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</row>
    <row r="150" spans="1:31" ht="15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132.80000000000001</v>
      </c>
      <c r="F150" s="2">
        <v>139.80000000000001</v>
      </c>
      <c r="G150" s="2">
        <v>129.30000000000001</v>
      </c>
      <c r="H150" s="2">
        <v>133.5</v>
      </c>
      <c r="I150" s="2">
        <v>114.3</v>
      </c>
      <c r="J150" s="2">
        <v>131.4</v>
      </c>
      <c r="K150" s="2">
        <v>120.2</v>
      </c>
      <c r="L150" s="2">
        <v>143.1</v>
      </c>
      <c r="M150" s="2">
        <v>119.5</v>
      </c>
      <c r="N150" s="2">
        <v>144</v>
      </c>
      <c r="O150" s="2">
        <v>123.4</v>
      </c>
      <c r="P150" s="2">
        <v>141.9</v>
      </c>
      <c r="Q150" s="2">
        <v>132.1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118.1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</row>
    <row r="151" spans="1:31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133.1</v>
      </c>
      <c r="F151" s="2">
        <v>138.80000000000001</v>
      </c>
      <c r="G151" s="2">
        <v>129.30000000000001</v>
      </c>
      <c r="H151" s="2">
        <v>135.80000000000001</v>
      </c>
      <c r="I151" s="2">
        <v>119.2</v>
      </c>
      <c r="J151" s="2">
        <v>135.30000000000001</v>
      </c>
      <c r="K151" s="2">
        <v>119.5</v>
      </c>
      <c r="L151" s="2">
        <v>152.19999999999999</v>
      </c>
      <c r="M151" s="2">
        <v>117.3</v>
      </c>
      <c r="N151" s="2">
        <v>138.69999999999999</v>
      </c>
      <c r="O151" s="2">
        <v>126.9</v>
      </c>
      <c r="P151" s="2">
        <v>143.19999999999999</v>
      </c>
      <c r="Q151" s="2">
        <v>133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118.6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</row>
    <row r="152" spans="1:31" ht="15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133.6</v>
      </c>
      <c r="F152" s="2">
        <v>138.80000000000001</v>
      </c>
      <c r="G152" s="2">
        <v>128.80000000000001</v>
      </c>
      <c r="H152" s="2">
        <v>137.19999999999999</v>
      </c>
      <c r="I152" s="2">
        <v>121.6</v>
      </c>
      <c r="J152" s="2">
        <v>139.69999999999999</v>
      </c>
      <c r="K152" s="2">
        <v>119.7</v>
      </c>
      <c r="L152" s="2">
        <v>148</v>
      </c>
      <c r="M152" s="2">
        <v>116.9</v>
      </c>
      <c r="N152" s="2">
        <v>135.6</v>
      </c>
      <c r="O152" s="2">
        <v>129.80000000000001</v>
      </c>
      <c r="P152" s="2">
        <v>145.4</v>
      </c>
      <c r="Q152" s="2">
        <v>133.4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>
        <f>VLOOKUP($A152,'Impute housing Missing Value'!$A$1:$C$125,3,0)</f>
        <v>131.1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</row>
    <row r="153" spans="1:31" ht="15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132.69999999999999</v>
      </c>
      <c r="F153" s="2">
        <v>139.4</v>
      </c>
      <c r="G153" s="2">
        <v>128.4</v>
      </c>
      <c r="H153" s="2">
        <v>134.9</v>
      </c>
      <c r="I153" s="2">
        <v>114</v>
      </c>
      <c r="J153" s="2">
        <v>136.80000000000001</v>
      </c>
      <c r="K153" s="2">
        <v>122.2</v>
      </c>
      <c r="L153" s="2">
        <v>135.80000000000001</v>
      </c>
      <c r="M153" s="2">
        <v>120.3</v>
      </c>
      <c r="N153" s="2">
        <v>142.6</v>
      </c>
      <c r="O153" s="2">
        <v>123.6</v>
      </c>
      <c r="P153" s="2">
        <v>142.4</v>
      </c>
      <c r="Q153" s="2">
        <v>132.6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119.6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</row>
    <row r="154" spans="1:31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133.30000000000001</v>
      </c>
      <c r="F154" s="2">
        <v>139</v>
      </c>
      <c r="G154" s="2">
        <v>128.6</v>
      </c>
      <c r="H154" s="2">
        <v>136.30000000000001</v>
      </c>
      <c r="I154" s="2">
        <v>118.8</v>
      </c>
      <c r="J154" s="2">
        <v>138.30000000000001</v>
      </c>
      <c r="K154" s="2">
        <v>120.5</v>
      </c>
      <c r="L154" s="2">
        <v>143.9</v>
      </c>
      <c r="M154" s="2">
        <v>118</v>
      </c>
      <c r="N154" s="2">
        <v>137.9</v>
      </c>
      <c r="O154" s="2">
        <v>127.2</v>
      </c>
      <c r="P154" s="2">
        <v>144</v>
      </c>
      <c r="Q154" s="2">
        <v>133.1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119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</row>
    <row r="155" spans="1:31" ht="15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133.19999999999999</v>
      </c>
      <c r="F155" s="2">
        <v>138.69999999999999</v>
      </c>
      <c r="G155" s="2">
        <v>127.1</v>
      </c>
      <c r="H155" s="2">
        <v>137.69999999999999</v>
      </c>
      <c r="I155" s="2">
        <v>121.3</v>
      </c>
      <c r="J155" s="2">
        <v>141.80000000000001</v>
      </c>
      <c r="K155" s="2">
        <v>121.5</v>
      </c>
      <c r="L155" s="2">
        <v>144.5</v>
      </c>
      <c r="M155" s="2">
        <v>117.4</v>
      </c>
      <c r="N155" s="2">
        <v>134.1</v>
      </c>
      <c r="O155" s="2">
        <v>130</v>
      </c>
      <c r="P155" s="2">
        <v>145.5</v>
      </c>
      <c r="Q155" s="2">
        <v>133.5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>
        <f>VLOOKUP($A155,'Impute housing Missing Value'!$A$1:$C$125,3,0)</f>
        <v>131.69999999999999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</row>
    <row r="156" spans="1:31" ht="15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132.69999999999999</v>
      </c>
      <c r="F156" s="2">
        <v>140.6</v>
      </c>
      <c r="G156" s="2">
        <v>124.5</v>
      </c>
      <c r="H156" s="2">
        <v>136.30000000000001</v>
      </c>
      <c r="I156" s="2">
        <v>113.5</v>
      </c>
      <c r="J156" s="2">
        <v>137.69999999999999</v>
      </c>
      <c r="K156" s="2">
        <v>127.1</v>
      </c>
      <c r="L156" s="2">
        <v>133.80000000000001</v>
      </c>
      <c r="M156" s="2">
        <v>120.8</v>
      </c>
      <c r="N156" s="2">
        <v>141.30000000000001</v>
      </c>
      <c r="O156" s="2">
        <v>123.8</v>
      </c>
      <c r="P156" s="2">
        <v>142.6</v>
      </c>
      <c r="Q156" s="2">
        <v>133.4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120.9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</row>
    <row r="157" spans="1:31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133</v>
      </c>
      <c r="F157" s="2">
        <v>139.4</v>
      </c>
      <c r="G157" s="2">
        <v>126.1</v>
      </c>
      <c r="H157" s="2">
        <v>137.19999999999999</v>
      </c>
      <c r="I157" s="2">
        <v>118.4</v>
      </c>
      <c r="J157" s="2">
        <v>139.9</v>
      </c>
      <c r="K157" s="2">
        <v>123.4</v>
      </c>
      <c r="L157" s="2">
        <v>140.9</v>
      </c>
      <c r="M157" s="2">
        <v>118.5</v>
      </c>
      <c r="N157" s="2">
        <v>136.5</v>
      </c>
      <c r="O157" s="2">
        <v>127.4</v>
      </c>
      <c r="P157" s="2">
        <v>144.19999999999999</v>
      </c>
      <c r="Q157" s="2">
        <v>133.5</v>
      </c>
      <c r="R157" s="2">
        <v>145.4</v>
      </c>
      <c r="S157" s="2">
        <v>138</v>
      </c>
      <c r="T157" s="2">
        <v>131.1</v>
      </c>
      <c r="U157" s="2">
        <v>137</v>
      </c>
      <c r="V157" s="2">
        <v>121.6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</row>
    <row r="158" spans="1:31" ht="15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133.1</v>
      </c>
      <c r="F158" s="2">
        <v>140.30000000000001</v>
      </c>
      <c r="G158" s="2">
        <v>126.8</v>
      </c>
      <c r="H158" s="2">
        <v>138.19999999999999</v>
      </c>
      <c r="I158" s="2">
        <v>120.8</v>
      </c>
      <c r="J158" s="2">
        <v>140.19999999999999</v>
      </c>
      <c r="K158" s="2">
        <v>123.8</v>
      </c>
      <c r="L158" s="2">
        <v>141.80000000000001</v>
      </c>
      <c r="M158" s="2">
        <v>118.6</v>
      </c>
      <c r="N158" s="2">
        <v>134</v>
      </c>
      <c r="O158" s="2">
        <v>130.30000000000001</v>
      </c>
      <c r="P158" s="2">
        <v>145.80000000000001</v>
      </c>
      <c r="Q158" s="2">
        <v>133.80000000000001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>
        <f>VLOOKUP($A158,'Impute housing Missing Value'!$A$1:$C$125,3,0)</f>
        <v>132.1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</row>
    <row r="159" spans="1:31" ht="15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132.6</v>
      </c>
      <c r="F159" s="2">
        <v>144.1</v>
      </c>
      <c r="G159" s="2">
        <v>125.6</v>
      </c>
      <c r="H159" s="2">
        <v>136.80000000000001</v>
      </c>
      <c r="I159" s="2">
        <v>113.4</v>
      </c>
      <c r="J159" s="2">
        <v>135.19999999999999</v>
      </c>
      <c r="K159" s="2">
        <v>129.19999999999999</v>
      </c>
      <c r="L159" s="2">
        <v>131.5</v>
      </c>
      <c r="M159" s="2">
        <v>121</v>
      </c>
      <c r="N159" s="2">
        <v>139.9</v>
      </c>
      <c r="O159" s="2">
        <v>123.8</v>
      </c>
      <c r="P159" s="2">
        <v>142.9</v>
      </c>
      <c r="Q159" s="2">
        <v>133.6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122.9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</row>
    <row r="160" spans="1:31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132.9</v>
      </c>
      <c r="F160" s="2">
        <v>141.6</v>
      </c>
      <c r="G160" s="2">
        <v>126.3</v>
      </c>
      <c r="H160" s="2">
        <v>137.69999999999999</v>
      </c>
      <c r="I160" s="2">
        <v>118.1</v>
      </c>
      <c r="J160" s="2">
        <v>137.9</v>
      </c>
      <c r="K160" s="2">
        <v>125.6</v>
      </c>
      <c r="L160" s="2">
        <v>138.30000000000001</v>
      </c>
      <c r="M160" s="2">
        <v>119.4</v>
      </c>
      <c r="N160" s="2">
        <v>136</v>
      </c>
      <c r="O160" s="2">
        <v>127.6</v>
      </c>
      <c r="P160" s="2">
        <v>144.5</v>
      </c>
      <c r="Q160" s="2">
        <v>133.69999999999999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122.4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</row>
    <row r="161" spans="1:31" ht="15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133.5</v>
      </c>
      <c r="F161" s="2">
        <v>143.69999999999999</v>
      </c>
      <c r="G161" s="2">
        <v>128</v>
      </c>
      <c r="H161" s="2">
        <v>138.6</v>
      </c>
      <c r="I161" s="2">
        <v>120.9</v>
      </c>
      <c r="J161" s="2">
        <v>140.9</v>
      </c>
      <c r="K161" s="2">
        <v>128.80000000000001</v>
      </c>
      <c r="L161" s="2">
        <v>140.19999999999999</v>
      </c>
      <c r="M161" s="2">
        <v>118.9</v>
      </c>
      <c r="N161" s="2">
        <v>133.5</v>
      </c>
      <c r="O161" s="2">
        <v>130.4</v>
      </c>
      <c r="P161" s="2">
        <v>146.5</v>
      </c>
      <c r="Q161" s="2">
        <v>134.9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>
        <f>VLOOKUP($A161,'Impute housing Missing Value'!$A$1:$C$125,3,0)</f>
        <v>131.4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</row>
    <row r="162" spans="1:31" ht="15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132.9</v>
      </c>
      <c r="F162" s="2">
        <v>148.69999999999999</v>
      </c>
      <c r="G162" s="2">
        <v>128.30000000000001</v>
      </c>
      <c r="H162" s="2">
        <v>137.30000000000001</v>
      </c>
      <c r="I162" s="2">
        <v>113.5</v>
      </c>
      <c r="J162" s="2">
        <v>137.19999999999999</v>
      </c>
      <c r="K162" s="2">
        <v>142.19999999999999</v>
      </c>
      <c r="L162" s="2">
        <v>128.19999999999999</v>
      </c>
      <c r="M162" s="2">
        <v>120.9</v>
      </c>
      <c r="N162" s="2">
        <v>138.80000000000001</v>
      </c>
      <c r="O162" s="2">
        <v>124.2</v>
      </c>
      <c r="P162" s="2">
        <v>143.1</v>
      </c>
      <c r="Q162" s="2">
        <v>135.69999999999999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124.4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</row>
    <row r="163" spans="1:31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133.30000000000001</v>
      </c>
      <c r="F163" s="2">
        <v>145.5</v>
      </c>
      <c r="G163" s="2">
        <v>128.1</v>
      </c>
      <c r="H163" s="2">
        <v>138.1</v>
      </c>
      <c r="I163" s="2">
        <v>118.2</v>
      </c>
      <c r="J163" s="2">
        <v>139.19999999999999</v>
      </c>
      <c r="K163" s="2">
        <v>133.30000000000001</v>
      </c>
      <c r="L163" s="2">
        <v>136.19999999999999</v>
      </c>
      <c r="M163" s="2">
        <v>119.6</v>
      </c>
      <c r="N163" s="2">
        <v>135.30000000000001</v>
      </c>
      <c r="O163" s="2">
        <v>127.8</v>
      </c>
      <c r="P163" s="2">
        <v>144.9</v>
      </c>
      <c r="Q163" s="2">
        <v>135.19999999999999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124.9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</row>
    <row r="164" spans="1:31" ht="15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134</v>
      </c>
      <c r="F164" s="2">
        <v>144.19999999999999</v>
      </c>
      <c r="G164" s="2">
        <v>129.80000000000001</v>
      </c>
      <c r="H164" s="2">
        <v>139</v>
      </c>
      <c r="I164" s="2">
        <v>120.9</v>
      </c>
      <c r="J164" s="2">
        <v>143.9</v>
      </c>
      <c r="K164" s="2">
        <v>151.5</v>
      </c>
      <c r="L164" s="2">
        <v>138.1</v>
      </c>
      <c r="M164" s="2">
        <v>120</v>
      </c>
      <c r="N164" s="2">
        <v>133.9</v>
      </c>
      <c r="O164" s="2">
        <v>131.4</v>
      </c>
      <c r="P164" s="2">
        <v>147.69999999999999</v>
      </c>
      <c r="Q164" s="2">
        <v>138.5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>
        <f>VLOOKUP($A164,'Impute housing Missing Value'!$A$1:$C$125,3,0)</f>
        <v>132.6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</row>
    <row r="165" spans="1:31" ht="15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132.80000000000001</v>
      </c>
      <c r="F165" s="2">
        <v>148.4</v>
      </c>
      <c r="G165" s="2">
        <v>129.4</v>
      </c>
      <c r="H165" s="2">
        <v>137.69999999999999</v>
      </c>
      <c r="I165" s="2">
        <v>113.4</v>
      </c>
      <c r="J165" s="2">
        <v>139.4</v>
      </c>
      <c r="K165" s="2">
        <v>175.1</v>
      </c>
      <c r="L165" s="2">
        <v>124.7</v>
      </c>
      <c r="M165" s="2">
        <v>121.5</v>
      </c>
      <c r="N165" s="2">
        <v>137.80000000000001</v>
      </c>
      <c r="O165" s="2">
        <v>124.4</v>
      </c>
      <c r="P165" s="2">
        <v>143.69999999999999</v>
      </c>
      <c r="Q165" s="2">
        <v>139.80000000000001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126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</row>
    <row r="166" spans="1:31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133.6</v>
      </c>
      <c r="F166" s="2">
        <v>145.69999999999999</v>
      </c>
      <c r="G166" s="2">
        <v>129.6</v>
      </c>
      <c r="H166" s="2">
        <v>138.5</v>
      </c>
      <c r="I166" s="2">
        <v>118.1</v>
      </c>
      <c r="J166" s="2">
        <v>141.80000000000001</v>
      </c>
      <c r="K166" s="2">
        <v>159.5</v>
      </c>
      <c r="L166" s="2">
        <v>133.6</v>
      </c>
      <c r="M166" s="2">
        <v>120.5</v>
      </c>
      <c r="N166" s="2">
        <v>135.19999999999999</v>
      </c>
      <c r="O166" s="2">
        <v>128.5</v>
      </c>
      <c r="P166" s="2">
        <v>145.80000000000001</v>
      </c>
      <c r="Q166" s="2">
        <v>139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125.5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</row>
    <row r="167" spans="1:31" ht="15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134.80000000000001</v>
      </c>
      <c r="F167" s="2">
        <v>143.1</v>
      </c>
      <c r="G167" s="2">
        <v>130</v>
      </c>
      <c r="H167" s="2">
        <v>139.4</v>
      </c>
      <c r="I167" s="2">
        <v>120.5</v>
      </c>
      <c r="J167" s="2">
        <v>148</v>
      </c>
      <c r="K167" s="2">
        <v>162.9</v>
      </c>
      <c r="L167" s="2">
        <v>137.4</v>
      </c>
      <c r="M167" s="2">
        <v>120.8</v>
      </c>
      <c r="N167" s="2">
        <v>134.69999999999999</v>
      </c>
      <c r="O167" s="2">
        <v>131.6</v>
      </c>
      <c r="P167" s="2">
        <v>148.69999999999999</v>
      </c>
      <c r="Q167" s="2">
        <v>140.6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>
        <f>VLOOKUP($A167,'Impute housing Missing Value'!$A$1:$C$125,3,0)</f>
        <v>134.4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</row>
    <row r="168" spans="1:31" ht="15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133.19999999999999</v>
      </c>
      <c r="F168" s="2">
        <v>143.9</v>
      </c>
      <c r="G168" s="2">
        <v>128.30000000000001</v>
      </c>
      <c r="H168" s="2">
        <v>138.30000000000001</v>
      </c>
      <c r="I168" s="2">
        <v>114.1</v>
      </c>
      <c r="J168" s="2">
        <v>142.69999999999999</v>
      </c>
      <c r="K168" s="2">
        <v>179.8</v>
      </c>
      <c r="L168" s="2">
        <v>123.5</v>
      </c>
      <c r="M168" s="2">
        <v>122.1</v>
      </c>
      <c r="N168" s="2">
        <v>137.5</v>
      </c>
      <c r="O168" s="2">
        <v>124.6</v>
      </c>
      <c r="P168" s="2">
        <v>144.5</v>
      </c>
      <c r="Q168" s="2">
        <v>140.5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127.3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</row>
    <row r="169" spans="1:31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134.30000000000001</v>
      </c>
      <c r="F169" s="2">
        <v>143.4</v>
      </c>
      <c r="G169" s="2">
        <v>129.30000000000001</v>
      </c>
      <c r="H169" s="2">
        <v>139</v>
      </c>
      <c r="I169" s="2">
        <v>118.1</v>
      </c>
      <c r="J169" s="2">
        <v>145.5</v>
      </c>
      <c r="K169" s="2">
        <v>168.6</v>
      </c>
      <c r="L169" s="2">
        <v>132.69999999999999</v>
      </c>
      <c r="M169" s="2">
        <v>121.2</v>
      </c>
      <c r="N169" s="2">
        <v>135.6</v>
      </c>
      <c r="O169" s="2">
        <v>128.69999999999999</v>
      </c>
      <c r="P169" s="2">
        <v>146.80000000000001</v>
      </c>
      <c r="Q169" s="2">
        <v>140.6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127.9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</row>
    <row r="170" spans="1:31" ht="26.5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135.19999999999999</v>
      </c>
      <c r="F170" s="2">
        <v>142</v>
      </c>
      <c r="G170" s="2">
        <v>130.5</v>
      </c>
      <c r="H170" s="2">
        <v>140.19999999999999</v>
      </c>
      <c r="I170" s="2">
        <v>120.7</v>
      </c>
      <c r="J170" s="2">
        <v>147.80000000000001</v>
      </c>
      <c r="K170" s="2">
        <v>154.5</v>
      </c>
      <c r="L170" s="2">
        <v>137.1</v>
      </c>
      <c r="M170" s="2">
        <v>121</v>
      </c>
      <c r="N170" s="2">
        <v>134.69999999999999</v>
      </c>
      <c r="O170" s="2">
        <v>131.69999999999999</v>
      </c>
      <c r="P170" s="2">
        <v>149.30000000000001</v>
      </c>
      <c r="Q170" s="2">
        <v>139.6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>
        <f>VLOOKUP($A170,'Impute housing Missing Value'!$A$1:$C$125,3,0)</f>
        <v>135.69999999999999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</row>
    <row r="171" spans="1:31" ht="26.5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133.6</v>
      </c>
      <c r="F171" s="2">
        <v>143</v>
      </c>
      <c r="G171" s="2">
        <v>129.69999999999999</v>
      </c>
      <c r="H171" s="2">
        <v>138.69999999999999</v>
      </c>
      <c r="I171" s="2">
        <v>114.5</v>
      </c>
      <c r="J171" s="2">
        <v>137.5</v>
      </c>
      <c r="K171" s="2">
        <v>160.69999999999999</v>
      </c>
      <c r="L171" s="2">
        <v>124.5</v>
      </c>
      <c r="M171" s="2">
        <v>122.4</v>
      </c>
      <c r="N171" s="2">
        <v>137.30000000000001</v>
      </c>
      <c r="O171" s="2">
        <v>124.8</v>
      </c>
      <c r="P171" s="2">
        <v>145</v>
      </c>
      <c r="Q171" s="2">
        <v>138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129.1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</row>
    <row r="172" spans="1:31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134.69999999999999</v>
      </c>
      <c r="F172" s="2">
        <v>142.4</v>
      </c>
      <c r="G172" s="2">
        <v>130.19999999999999</v>
      </c>
      <c r="H172" s="2">
        <v>139.6</v>
      </c>
      <c r="I172" s="2">
        <v>118.4</v>
      </c>
      <c r="J172" s="2">
        <v>143</v>
      </c>
      <c r="K172" s="2">
        <v>156.6</v>
      </c>
      <c r="L172" s="2">
        <v>132.9</v>
      </c>
      <c r="M172" s="2">
        <v>121.5</v>
      </c>
      <c r="N172" s="2">
        <v>135.6</v>
      </c>
      <c r="O172" s="2">
        <v>128.80000000000001</v>
      </c>
      <c r="P172" s="2">
        <v>147.30000000000001</v>
      </c>
      <c r="Q172" s="2">
        <v>139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128.5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</row>
    <row r="173" spans="1:31" ht="15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135.9</v>
      </c>
      <c r="F173" s="2">
        <v>141.9</v>
      </c>
      <c r="G173" s="2">
        <v>131</v>
      </c>
      <c r="H173" s="2">
        <v>141.5</v>
      </c>
      <c r="I173" s="2">
        <v>121.4</v>
      </c>
      <c r="J173" s="2">
        <v>146.69999999999999</v>
      </c>
      <c r="K173" s="2">
        <v>157.1</v>
      </c>
      <c r="L173" s="2">
        <v>136.4</v>
      </c>
      <c r="M173" s="2">
        <v>121.4</v>
      </c>
      <c r="N173" s="2">
        <v>135.6</v>
      </c>
      <c r="O173" s="2">
        <v>131.30000000000001</v>
      </c>
      <c r="P173" s="2">
        <v>150.30000000000001</v>
      </c>
      <c r="Q173" s="2">
        <v>140.4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>
        <f>VLOOKUP($A173,'Impute housing Missing Value'!$A$1:$C$125,3,0)</f>
        <v>137.30000000000001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</row>
    <row r="174" spans="1:31" ht="15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133.9</v>
      </c>
      <c r="F174" s="2">
        <v>142.80000000000001</v>
      </c>
      <c r="G174" s="2">
        <v>131.4</v>
      </c>
      <c r="H174" s="2">
        <v>139.1</v>
      </c>
      <c r="I174" s="2">
        <v>114.9</v>
      </c>
      <c r="J174" s="2">
        <v>135.6</v>
      </c>
      <c r="K174" s="2">
        <v>173.2</v>
      </c>
      <c r="L174" s="2">
        <v>124.1</v>
      </c>
      <c r="M174" s="2">
        <v>122.6</v>
      </c>
      <c r="N174" s="2">
        <v>137.80000000000001</v>
      </c>
      <c r="O174" s="2">
        <v>125.1</v>
      </c>
      <c r="P174" s="2">
        <v>145.5</v>
      </c>
      <c r="Q174" s="2">
        <v>139.69999999999999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130.5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</row>
    <row r="175" spans="1:31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135.30000000000001</v>
      </c>
      <c r="F175" s="2">
        <v>142.19999999999999</v>
      </c>
      <c r="G175" s="2">
        <v>131.19999999999999</v>
      </c>
      <c r="H175" s="2">
        <v>140.6</v>
      </c>
      <c r="I175" s="2">
        <v>119</v>
      </c>
      <c r="J175" s="2">
        <v>141.5</v>
      </c>
      <c r="K175" s="2">
        <v>162.6</v>
      </c>
      <c r="L175" s="2">
        <v>132.30000000000001</v>
      </c>
      <c r="M175" s="2">
        <v>121.8</v>
      </c>
      <c r="N175" s="2">
        <v>136.30000000000001</v>
      </c>
      <c r="O175" s="2">
        <v>128.69999999999999</v>
      </c>
      <c r="P175" s="2">
        <v>148.1</v>
      </c>
      <c r="Q175" s="2">
        <v>140.1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131.1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</row>
    <row r="176" spans="1:31" ht="26.5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136.30000000000001</v>
      </c>
      <c r="F176" s="2">
        <v>142.5</v>
      </c>
      <c r="G176" s="2">
        <v>140.5</v>
      </c>
      <c r="H176" s="2">
        <v>141.5</v>
      </c>
      <c r="I176" s="2">
        <v>121.6</v>
      </c>
      <c r="J176" s="2">
        <v>147.30000000000001</v>
      </c>
      <c r="K176" s="2">
        <v>168</v>
      </c>
      <c r="L176" s="2">
        <v>135.80000000000001</v>
      </c>
      <c r="M176" s="2">
        <v>122.5</v>
      </c>
      <c r="N176" s="2">
        <v>136</v>
      </c>
      <c r="O176" s="2">
        <v>131.9</v>
      </c>
      <c r="P176" s="2">
        <v>151.4</v>
      </c>
      <c r="Q176" s="2">
        <v>142.4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>
        <f>VLOOKUP($A176,'Impute housing Missing Value'!$A$1:$C$125,3,0)</f>
        <v>138.6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</row>
    <row r="177" spans="1:31" ht="26.5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134.30000000000001</v>
      </c>
      <c r="F177" s="2">
        <v>142.1</v>
      </c>
      <c r="G177" s="2">
        <v>146.69999999999999</v>
      </c>
      <c r="H177" s="2">
        <v>139.5</v>
      </c>
      <c r="I177" s="2">
        <v>115.2</v>
      </c>
      <c r="J177" s="2">
        <v>136.4</v>
      </c>
      <c r="K177" s="2">
        <v>185.2</v>
      </c>
      <c r="L177" s="2">
        <v>122.2</v>
      </c>
      <c r="M177" s="2">
        <v>123.9</v>
      </c>
      <c r="N177" s="2">
        <v>138.30000000000001</v>
      </c>
      <c r="O177" s="2">
        <v>125.4</v>
      </c>
      <c r="P177" s="2">
        <v>146</v>
      </c>
      <c r="Q177" s="2">
        <v>141.5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132.1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</row>
    <row r="178" spans="1:31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135.69999999999999</v>
      </c>
      <c r="F178" s="2">
        <v>142.4</v>
      </c>
      <c r="G178" s="2">
        <v>142.9</v>
      </c>
      <c r="H178" s="2">
        <v>140.80000000000001</v>
      </c>
      <c r="I178" s="2">
        <v>119.2</v>
      </c>
      <c r="J178" s="2">
        <v>142.19999999999999</v>
      </c>
      <c r="K178" s="2">
        <v>173.8</v>
      </c>
      <c r="L178" s="2">
        <v>131.19999999999999</v>
      </c>
      <c r="M178" s="2">
        <v>123</v>
      </c>
      <c r="N178" s="2">
        <v>136.80000000000001</v>
      </c>
      <c r="O178" s="2">
        <v>129.19999999999999</v>
      </c>
      <c r="P178" s="2">
        <v>148.9</v>
      </c>
      <c r="Q178" s="2">
        <v>142.1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131.4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</row>
    <row r="179" spans="1:31" ht="26.5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136.4</v>
      </c>
      <c r="F179" s="2">
        <v>143.69999999999999</v>
      </c>
      <c r="G179" s="2">
        <v>144.80000000000001</v>
      </c>
      <c r="H179" s="2">
        <v>141.9</v>
      </c>
      <c r="I179" s="2">
        <v>123.1</v>
      </c>
      <c r="J179" s="2">
        <v>147.19999999999999</v>
      </c>
      <c r="K179" s="2">
        <v>161</v>
      </c>
      <c r="L179" s="2">
        <v>133.80000000000001</v>
      </c>
      <c r="M179" s="2">
        <v>121.9</v>
      </c>
      <c r="N179" s="2">
        <v>135.80000000000001</v>
      </c>
      <c r="O179" s="2">
        <v>131.1</v>
      </c>
      <c r="P179" s="2">
        <v>151.4</v>
      </c>
      <c r="Q179" s="2">
        <v>141.5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>
        <f>VLOOKUP($A179,'Impute housing Missing Value'!$A$1:$C$125,3,0)</f>
        <v>139.1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</row>
    <row r="180" spans="1:31" ht="26.5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134.4</v>
      </c>
      <c r="F180" s="2">
        <v>142.6</v>
      </c>
      <c r="G180" s="2">
        <v>145.9</v>
      </c>
      <c r="H180" s="2">
        <v>139.5</v>
      </c>
      <c r="I180" s="2">
        <v>115.9</v>
      </c>
      <c r="J180" s="2">
        <v>135</v>
      </c>
      <c r="K180" s="2">
        <v>163.19999999999999</v>
      </c>
      <c r="L180" s="2">
        <v>119.8</v>
      </c>
      <c r="M180" s="2">
        <v>120.7</v>
      </c>
      <c r="N180" s="2">
        <v>139.69999999999999</v>
      </c>
      <c r="O180" s="2">
        <v>125.7</v>
      </c>
      <c r="P180" s="2">
        <v>146.30000000000001</v>
      </c>
      <c r="Q180" s="2">
        <v>138.80000000000001</v>
      </c>
      <c r="R180" s="2">
        <v>157</v>
      </c>
      <c r="S180" s="2">
        <v>135.6</v>
      </c>
      <c r="T180" s="2">
        <v>125.6</v>
      </c>
      <c r="U180" s="2">
        <v>134</v>
      </c>
      <c r="V180" s="2">
        <v>134.4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</row>
    <row r="181" spans="1:31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135.80000000000001</v>
      </c>
      <c r="F181" s="2">
        <v>143.30000000000001</v>
      </c>
      <c r="G181" s="2">
        <v>145.19999999999999</v>
      </c>
      <c r="H181" s="2">
        <v>141</v>
      </c>
      <c r="I181" s="2">
        <v>120.5</v>
      </c>
      <c r="J181" s="2">
        <v>141.5</v>
      </c>
      <c r="K181" s="2">
        <v>161.69999999999999</v>
      </c>
      <c r="L181" s="2">
        <v>129.1</v>
      </c>
      <c r="M181" s="2">
        <v>121.5</v>
      </c>
      <c r="N181" s="2">
        <v>137.1</v>
      </c>
      <c r="O181" s="2">
        <v>128.80000000000001</v>
      </c>
      <c r="P181" s="2">
        <v>149</v>
      </c>
      <c r="Q181" s="2">
        <v>140.5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135.69999999999999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</row>
    <row r="182" spans="1:31" ht="15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136.6</v>
      </c>
      <c r="F182" s="2">
        <v>144.4</v>
      </c>
      <c r="G182" s="2">
        <v>143.80000000000001</v>
      </c>
      <c r="H182" s="2">
        <v>142</v>
      </c>
      <c r="I182" s="2">
        <v>123.2</v>
      </c>
      <c r="J182" s="2">
        <v>147.9</v>
      </c>
      <c r="K182" s="2">
        <v>152.1</v>
      </c>
      <c r="L182" s="2">
        <v>131.80000000000001</v>
      </c>
      <c r="M182" s="2">
        <v>119.5</v>
      </c>
      <c r="N182" s="2">
        <v>136</v>
      </c>
      <c r="O182" s="2">
        <v>131.19999999999999</v>
      </c>
      <c r="P182" s="2">
        <v>151.80000000000001</v>
      </c>
      <c r="Q182" s="2">
        <v>140.4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>
        <f>VLOOKUP($A182,'Impute housing Missing Value'!$A$1:$C$125,3,0)</f>
        <v>140.4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</row>
    <row r="183" spans="1:31" ht="15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134.6</v>
      </c>
      <c r="F183" s="2">
        <v>143.69999999999999</v>
      </c>
      <c r="G183" s="2">
        <v>143.6</v>
      </c>
      <c r="H183" s="2">
        <v>139.6</v>
      </c>
      <c r="I183" s="2">
        <v>116.4</v>
      </c>
      <c r="J183" s="2">
        <v>133.80000000000001</v>
      </c>
      <c r="K183" s="2">
        <v>150.5</v>
      </c>
      <c r="L183" s="2">
        <v>118.4</v>
      </c>
      <c r="M183" s="2">
        <v>117.3</v>
      </c>
      <c r="N183" s="2">
        <v>140.5</v>
      </c>
      <c r="O183" s="2">
        <v>125.9</v>
      </c>
      <c r="P183" s="2">
        <v>146.80000000000001</v>
      </c>
      <c r="Q183" s="2">
        <v>137.19999999999999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138.6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</row>
    <row r="184" spans="1:31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</v>
      </c>
      <c r="F184" s="2">
        <v>144.19999999999999</v>
      </c>
      <c r="G184" s="2">
        <v>143.69999999999999</v>
      </c>
      <c r="H184" s="2">
        <v>141.1</v>
      </c>
      <c r="I184" s="2">
        <v>120.7</v>
      </c>
      <c r="J184" s="2">
        <v>141.30000000000001</v>
      </c>
      <c r="K184" s="2">
        <v>151.6</v>
      </c>
      <c r="L184" s="2">
        <v>127.3</v>
      </c>
      <c r="M184" s="2">
        <v>118.8</v>
      </c>
      <c r="N184" s="2">
        <v>137.5</v>
      </c>
      <c r="O184" s="2">
        <v>129</v>
      </c>
      <c r="P184" s="2">
        <v>149.5</v>
      </c>
      <c r="Q184" s="2">
        <v>139.19999999999999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139.1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</row>
    <row r="185" spans="1:31" ht="15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136.4</v>
      </c>
      <c r="F185" s="2">
        <v>143.69999999999999</v>
      </c>
      <c r="G185" s="2">
        <v>140.6</v>
      </c>
      <c r="H185" s="2">
        <v>141.5</v>
      </c>
      <c r="I185" s="2">
        <v>122.9</v>
      </c>
      <c r="J185" s="2">
        <v>149.4</v>
      </c>
      <c r="K185" s="2">
        <v>142.4</v>
      </c>
      <c r="L185" s="2">
        <v>130.19999999999999</v>
      </c>
      <c r="M185" s="2">
        <v>117.9</v>
      </c>
      <c r="N185" s="2">
        <v>135.6</v>
      </c>
      <c r="O185" s="2">
        <v>130.5</v>
      </c>
      <c r="P185" s="2">
        <v>151.69999999999999</v>
      </c>
      <c r="Q185" s="2">
        <v>138.69999999999999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>
        <f>VLOOKUP($A185,'Impute housing Missing Value'!$A$1:$C$125,3,0)</f>
        <v>141.30000000000001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</row>
    <row r="186" spans="1:31" ht="15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134.80000000000001</v>
      </c>
      <c r="F186" s="2">
        <v>143</v>
      </c>
      <c r="G186" s="2">
        <v>139.9</v>
      </c>
      <c r="H186" s="2">
        <v>139.9</v>
      </c>
      <c r="I186" s="2">
        <v>116.2</v>
      </c>
      <c r="J186" s="2">
        <v>135.5</v>
      </c>
      <c r="K186" s="2">
        <v>136.9</v>
      </c>
      <c r="L186" s="2">
        <v>117</v>
      </c>
      <c r="M186" s="2">
        <v>115.4</v>
      </c>
      <c r="N186" s="2">
        <v>140.69999999999999</v>
      </c>
      <c r="O186" s="2">
        <v>125.9</v>
      </c>
      <c r="P186" s="2">
        <v>147.1</v>
      </c>
      <c r="Q186" s="2">
        <v>135.6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</row>
    <row r="187" spans="1:31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135.9</v>
      </c>
      <c r="F187" s="2">
        <v>143.5</v>
      </c>
      <c r="G187" s="2">
        <v>140.30000000000001</v>
      </c>
      <c r="H187" s="2">
        <v>140.9</v>
      </c>
      <c r="I187" s="2">
        <v>120.4</v>
      </c>
      <c r="J187" s="2">
        <v>142.9</v>
      </c>
      <c r="K187" s="2">
        <v>140.5</v>
      </c>
      <c r="L187" s="2">
        <v>125.8</v>
      </c>
      <c r="M187" s="2">
        <v>117.1</v>
      </c>
      <c r="N187" s="2">
        <v>137.30000000000001</v>
      </c>
      <c r="O187" s="2">
        <v>128.6</v>
      </c>
      <c r="P187" s="2">
        <v>149.6</v>
      </c>
      <c r="Q187" s="2">
        <v>137.6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142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</row>
    <row r="188" spans="1:31" ht="15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136.80000000000001</v>
      </c>
      <c r="F188" s="2">
        <v>143.80000000000001</v>
      </c>
      <c r="G188" s="2">
        <v>140</v>
      </c>
      <c r="H188" s="2">
        <v>142</v>
      </c>
      <c r="I188" s="2">
        <v>123.2</v>
      </c>
      <c r="J188" s="2">
        <v>152.9</v>
      </c>
      <c r="K188" s="2">
        <v>138</v>
      </c>
      <c r="L188" s="2">
        <v>129.30000000000001</v>
      </c>
      <c r="M188" s="2">
        <v>117.1</v>
      </c>
      <c r="N188" s="2">
        <v>136.30000000000001</v>
      </c>
      <c r="O188" s="2">
        <v>131.19999999999999</v>
      </c>
      <c r="P188" s="2">
        <v>152.80000000000001</v>
      </c>
      <c r="Q188" s="2">
        <v>138.6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>
        <f>VLOOKUP($A188,'Impute housing Missing Value'!$A$1:$C$125,3,0)</f>
        <v>142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</row>
    <row r="189" spans="1:31" ht="15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135</v>
      </c>
      <c r="F189" s="2">
        <v>143.1</v>
      </c>
      <c r="G189" s="2">
        <v>135.5</v>
      </c>
      <c r="H189" s="2">
        <v>139.9</v>
      </c>
      <c r="I189" s="2">
        <v>116.5</v>
      </c>
      <c r="J189" s="2">
        <v>138.5</v>
      </c>
      <c r="K189" s="2">
        <v>128</v>
      </c>
      <c r="L189" s="2">
        <v>115.5</v>
      </c>
      <c r="M189" s="2">
        <v>114.2</v>
      </c>
      <c r="N189" s="2">
        <v>140.69999999999999</v>
      </c>
      <c r="O189" s="2">
        <v>126.2</v>
      </c>
      <c r="P189" s="2">
        <v>147.6</v>
      </c>
      <c r="Q189" s="2">
        <v>134.80000000000001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143.19999999999999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</row>
    <row r="190" spans="1:31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136.19999999999999</v>
      </c>
      <c r="F190" s="2">
        <v>143.6</v>
      </c>
      <c r="G190" s="2">
        <v>138.30000000000001</v>
      </c>
      <c r="H190" s="2">
        <v>141.19999999999999</v>
      </c>
      <c r="I190" s="2">
        <v>120.7</v>
      </c>
      <c r="J190" s="2">
        <v>146.19999999999999</v>
      </c>
      <c r="K190" s="2">
        <v>134.6</v>
      </c>
      <c r="L190" s="2">
        <v>124.6</v>
      </c>
      <c r="M190" s="2">
        <v>116.1</v>
      </c>
      <c r="N190" s="2">
        <v>137.80000000000001</v>
      </c>
      <c r="O190" s="2">
        <v>129.1</v>
      </c>
      <c r="P190" s="2">
        <v>150.4</v>
      </c>
      <c r="Q190" s="2">
        <v>137.19999999999999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142.5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</row>
    <row r="191" spans="1:31" ht="15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137.1</v>
      </c>
      <c r="F191" s="2">
        <v>144.5</v>
      </c>
      <c r="G191" s="2">
        <v>135.9</v>
      </c>
      <c r="H191" s="2">
        <v>142.4</v>
      </c>
      <c r="I191" s="2">
        <v>123.5</v>
      </c>
      <c r="J191" s="2">
        <v>156.4</v>
      </c>
      <c r="K191" s="2">
        <v>135.1</v>
      </c>
      <c r="L191" s="2">
        <v>128.4</v>
      </c>
      <c r="M191" s="2">
        <v>115.2</v>
      </c>
      <c r="N191" s="2">
        <v>137.19999999999999</v>
      </c>
      <c r="O191" s="2">
        <v>131.9</v>
      </c>
      <c r="P191" s="2">
        <v>153.80000000000001</v>
      </c>
      <c r="Q191" s="2">
        <v>138.6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>
        <f>VLOOKUP($A191,'Impute housing Missing Value'!$A$1:$C$125,3,0)</f>
        <v>142.9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</row>
    <row r="192" spans="1:31" ht="15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135</v>
      </c>
      <c r="F192" s="2">
        <v>144.30000000000001</v>
      </c>
      <c r="G192" s="2">
        <v>130.80000000000001</v>
      </c>
      <c r="H192" s="2">
        <v>140.30000000000001</v>
      </c>
      <c r="I192" s="2">
        <v>116.6</v>
      </c>
      <c r="J192" s="2">
        <v>150.1</v>
      </c>
      <c r="K192" s="2">
        <v>127.6</v>
      </c>
      <c r="L192" s="2">
        <v>114</v>
      </c>
      <c r="M192" s="2">
        <v>110.6</v>
      </c>
      <c r="N192" s="2">
        <v>140.19999999999999</v>
      </c>
      <c r="O192" s="2">
        <v>126.5</v>
      </c>
      <c r="P192" s="2">
        <v>148.30000000000001</v>
      </c>
      <c r="Q192" s="2">
        <v>135.69999999999999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144.6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</row>
    <row r="193" spans="1:31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136.4</v>
      </c>
      <c r="F193" s="2">
        <v>144.4</v>
      </c>
      <c r="G193" s="2">
        <v>133.9</v>
      </c>
      <c r="H193" s="2">
        <v>141.6</v>
      </c>
      <c r="I193" s="2">
        <v>121</v>
      </c>
      <c r="J193" s="2">
        <v>153.5</v>
      </c>
      <c r="K193" s="2">
        <v>132.6</v>
      </c>
      <c r="L193" s="2">
        <v>123.5</v>
      </c>
      <c r="M193" s="2">
        <v>113.7</v>
      </c>
      <c r="N193" s="2">
        <v>138.19999999999999</v>
      </c>
      <c r="O193" s="2">
        <v>129.6</v>
      </c>
      <c r="P193" s="2">
        <v>151.19999999999999</v>
      </c>
      <c r="Q193" s="2">
        <v>137.5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145.30000000000001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</row>
    <row r="194" spans="1:31" ht="15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137.4</v>
      </c>
      <c r="F194" s="2">
        <v>145.69999999999999</v>
      </c>
      <c r="G194" s="2">
        <v>135.5</v>
      </c>
      <c r="H194" s="2">
        <v>142.9</v>
      </c>
      <c r="I194" s="2">
        <v>123.6</v>
      </c>
      <c r="J194" s="2">
        <v>157.5</v>
      </c>
      <c r="K194" s="2">
        <v>137.80000000000001</v>
      </c>
      <c r="L194" s="2">
        <v>127.2</v>
      </c>
      <c r="M194" s="2">
        <v>111.8</v>
      </c>
      <c r="N194" s="2">
        <v>137.4</v>
      </c>
      <c r="O194" s="2">
        <v>132.19999999999999</v>
      </c>
      <c r="P194" s="2">
        <v>154.30000000000001</v>
      </c>
      <c r="Q194" s="2">
        <v>139.1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>
        <f>VLOOKUP($A194,'Impute housing Missing Value'!$A$1:$C$125,3,0)</f>
        <v>143.19999999999999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</row>
    <row r="195" spans="1:31" ht="15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</v>
      </c>
      <c r="F195" s="2">
        <v>148.19999999999999</v>
      </c>
      <c r="G195" s="2">
        <v>130.5</v>
      </c>
      <c r="H195" s="2">
        <v>140.69999999999999</v>
      </c>
      <c r="I195" s="2">
        <v>116.4</v>
      </c>
      <c r="J195" s="2">
        <v>151.30000000000001</v>
      </c>
      <c r="K195" s="2">
        <v>131.4</v>
      </c>
      <c r="L195" s="2">
        <v>112.8</v>
      </c>
      <c r="M195" s="2">
        <v>105.3</v>
      </c>
      <c r="N195" s="2">
        <v>139.6</v>
      </c>
      <c r="O195" s="2">
        <v>126.6</v>
      </c>
      <c r="P195" s="2">
        <v>148.69999999999999</v>
      </c>
      <c r="Q195" s="2">
        <v>136.4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146.9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</row>
    <row r="196" spans="1:31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136.6</v>
      </c>
      <c r="F196" s="2">
        <v>146.6</v>
      </c>
      <c r="G196" s="2">
        <v>133.6</v>
      </c>
      <c r="H196" s="2">
        <v>142.1</v>
      </c>
      <c r="I196" s="2">
        <v>121</v>
      </c>
      <c r="J196" s="2">
        <v>154.6</v>
      </c>
      <c r="K196" s="2">
        <v>135.6</v>
      </c>
      <c r="L196" s="2">
        <v>122.3</v>
      </c>
      <c r="M196" s="2">
        <v>109.6</v>
      </c>
      <c r="N196" s="2">
        <v>138.1</v>
      </c>
      <c r="O196" s="2">
        <v>129.9</v>
      </c>
      <c r="P196" s="2">
        <v>151.69999999999999</v>
      </c>
      <c r="Q196" s="2">
        <v>138.1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146.5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</row>
    <row r="197" spans="1:31" ht="15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137.6</v>
      </c>
      <c r="F197" s="2">
        <v>148.1</v>
      </c>
      <c r="G197" s="2">
        <v>136.69999999999999</v>
      </c>
      <c r="H197" s="2">
        <v>143.19999999999999</v>
      </c>
      <c r="I197" s="2">
        <v>124</v>
      </c>
      <c r="J197" s="2">
        <v>154.1</v>
      </c>
      <c r="K197" s="2">
        <v>143.5</v>
      </c>
      <c r="L197" s="2">
        <v>126</v>
      </c>
      <c r="M197" s="2">
        <v>112.4</v>
      </c>
      <c r="N197" s="2">
        <v>137.6</v>
      </c>
      <c r="O197" s="2">
        <v>132.80000000000001</v>
      </c>
      <c r="P197" s="2">
        <v>154.30000000000001</v>
      </c>
      <c r="Q197" s="2">
        <v>140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>
        <f>VLOOKUP($A197,'Impute housing Missing Value'!$A$1:$C$125,3,0)</f>
        <v>142.5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</row>
    <row r="198" spans="1:31" ht="15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135.30000000000001</v>
      </c>
      <c r="F198" s="2">
        <v>149.69999999999999</v>
      </c>
      <c r="G198" s="2">
        <v>133.9</v>
      </c>
      <c r="H198" s="2">
        <v>140.80000000000001</v>
      </c>
      <c r="I198" s="2">
        <v>116.6</v>
      </c>
      <c r="J198" s="2">
        <v>152.19999999999999</v>
      </c>
      <c r="K198" s="2">
        <v>144</v>
      </c>
      <c r="L198" s="2">
        <v>112.3</v>
      </c>
      <c r="M198" s="2">
        <v>108.4</v>
      </c>
      <c r="N198" s="2">
        <v>140</v>
      </c>
      <c r="O198" s="2">
        <v>126.7</v>
      </c>
      <c r="P198" s="2">
        <v>149</v>
      </c>
      <c r="Q198" s="2">
        <v>138.4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148.5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</row>
    <row r="199" spans="1:31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136.9</v>
      </c>
      <c r="F199" s="2">
        <v>148.69999999999999</v>
      </c>
      <c r="G199" s="2">
        <v>135.6</v>
      </c>
      <c r="H199" s="2">
        <v>142.30000000000001</v>
      </c>
      <c r="I199" s="2">
        <v>121.3</v>
      </c>
      <c r="J199" s="2">
        <v>153.19999999999999</v>
      </c>
      <c r="K199" s="2">
        <v>143.69999999999999</v>
      </c>
      <c r="L199" s="2">
        <v>121.4</v>
      </c>
      <c r="M199" s="2">
        <v>111.1</v>
      </c>
      <c r="N199" s="2">
        <v>138.4</v>
      </c>
      <c r="O199" s="2">
        <v>130.30000000000001</v>
      </c>
      <c r="P199" s="2">
        <v>151.80000000000001</v>
      </c>
      <c r="Q199" s="2">
        <v>139.4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149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</row>
    <row r="200" spans="1:31" ht="15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138.4</v>
      </c>
      <c r="F200" s="2">
        <v>149.30000000000001</v>
      </c>
      <c r="G200" s="2">
        <v>139.30000000000001</v>
      </c>
      <c r="H200" s="2">
        <v>143.4</v>
      </c>
      <c r="I200" s="2">
        <v>124.1</v>
      </c>
      <c r="J200" s="2">
        <v>153.30000000000001</v>
      </c>
      <c r="K200" s="2">
        <v>154.19999999999999</v>
      </c>
      <c r="L200" s="2">
        <v>126.4</v>
      </c>
      <c r="M200" s="2">
        <v>114.3</v>
      </c>
      <c r="N200" s="2">
        <v>138.19999999999999</v>
      </c>
      <c r="O200" s="2">
        <v>132.80000000000001</v>
      </c>
      <c r="P200" s="2">
        <v>154.80000000000001</v>
      </c>
      <c r="Q200" s="2">
        <v>142</v>
      </c>
      <c r="R200" s="2">
        <v>156.1</v>
      </c>
      <c r="S200" s="2">
        <v>151.5</v>
      </c>
      <c r="T200" s="2">
        <v>145.1</v>
      </c>
      <c r="U200" s="2">
        <v>150.6</v>
      </c>
      <c r="V200" s="2">
        <f>VLOOKUP($A200,'Impute housing Missing Value'!$A$1:$C$125,3,0)</f>
        <v>143.6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</row>
    <row r="201" spans="1:31" ht="15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135.6</v>
      </c>
      <c r="F201" s="2">
        <v>148.6</v>
      </c>
      <c r="G201" s="2">
        <v>139.1</v>
      </c>
      <c r="H201" s="2">
        <v>141</v>
      </c>
      <c r="I201" s="2">
        <v>116.7</v>
      </c>
      <c r="J201" s="2">
        <v>149.69999999999999</v>
      </c>
      <c r="K201" s="2">
        <v>159.19999999999999</v>
      </c>
      <c r="L201" s="2">
        <v>112.6</v>
      </c>
      <c r="M201" s="2">
        <v>111.8</v>
      </c>
      <c r="N201" s="2">
        <v>140.30000000000001</v>
      </c>
      <c r="O201" s="2">
        <v>126.8</v>
      </c>
      <c r="P201" s="2">
        <v>149.4</v>
      </c>
      <c r="Q201" s="2">
        <v>140.30000000000001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149.4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</row>
    <row r="202" spans="1:31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137.5</v>
      </c>
      <c r="F202" s="2">
        <v>149.1</v>
      </c>
      <c r="G202" s="2">
        <v>139.19999999999999</v>
      </c>
      <c r="H202" s="2">
        <v>142.5</v>
      </c>
      <c r="I202" s="2">
        <v>121.4</v>
      </c>
      <c r="J202" s="2">
        <v>151.6</v>
      </c>
      <c r="K202" s="2">
        <v>155.9</v>
      </c>
      <c r="L202" s="2">
        <v>121.7</v>
      </c>
      <c r="M202" s="2">
        <v>113.5</v>
      </c>
      <c r="N202" s="2">
        <v>138.9</v>
      </c>
      <c r="O202" s="2">
        <v>130.30000000000001</v>
      </c>
      <c r="P202" s="2">
        <v>152.30000000000001</v>
      </c>
      <c r="Q202" s="2">
        <v>141.4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150.6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</row>
    <row r="203" spans="1:31" ht="15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139.19999999999999</v>
      </c>
      <c r="F203" s="2">
        <v>148.80000000000001</v>
      </c>
      <c r="G203" s="2">
        <v>139.1</v>
      </c>
      <c r="H203" s="2">
        <v>143.5</v>
      </c>
      <c r="I203" s="2">
        <v>125</v>
      </c>
      <c r="J203" s="2">
        <v>154.4</v>
      </c>
      <c r="K203" s="2">
        <v>156.30000000000001</v>
      </c>
      <c r="L203" s="2">
        <v>126.8</v>
      </c>
      <c r="M203" s="2">
        <v>115.4</v>
      </c>
      <c r="N203" s="2">
        <v>138.6</v>
      </c>
      <c r="O203" s="2">
        <v>133.80000000000001</v>
      </c>
      <c r="P203" s="2">
        <v>155.19999999999999</v>
      </c>
      <c r="Q203" s="2">
        <v>142.69999999999999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>
        <f>VLOOKUP($A203,'Impute housing Missing Value'!$A$1:$C$125,3,0)</f>
        <v>144.6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</row>
    <row r="204" spans="1:31" ht="15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136.5</v>
      </c>
      <c r="F204" s="2">
        <v>146.4</v>
      </c>
      <c r="G204" s="2">
        <v>136.6</v>
      </c>
      <c r="H204" s="2">
        <v>141.19999999999999</v>
      </c>
      <c r="I204" s="2">
        <v>117.4</v>
      </c>
      <c r="J204" s="2">
        <v>146.30000000000001</v>
      </c>
      <c r="K204" s="2">
        <v>157.30000000000001</v>
      </c>
      <c r="L204" s="2">
        <v>113.6</v>
      </c>
      <c r="M204" s="2">
        <v>113.3</v>
      </c>
      <c r="N204" s="2">
        <v>141.1</v>
      </c>
      <c r="O204" s="2">
        <v>127.4</v>
      </c>
      <c r="P204" s="2">
        <v>150.4</v>
      </c>
      <c r="Q204" s="2">
        <v>140.1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152.19999999999999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</row>
    <row r="205" spans="1:31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138.30000000000001</v>
      </c>
      <c r="F205" s="2">
        <v>148</v>
      </c>
      <c r="G205" s="2">
        <v>138.1</v>
      </c>
      <c r="H205" s="2">
        <v>142.6</v>
      </c>
      <c r="I205" s="2">
        <v>122.2</v>
      </c>
      <c r="J205" s="2">
        <v>150.6</v>
      </c>
      <c r="K205" s="2">
        <v>156.6</v>
      </c>
      <c r="L205" s="2">
        <v>122.4</v>
      </c>
      <c r="M205" s="2">
        <v>114.7</v>
      </c>
      <c r="N205" s="2">
        <v>139.4</v>
      </c>
      <c r="O205" s="2">
        <v>131.1</v>
      </c>
      <c r="P205" s="2">
        <v>153</v>
      </c>
      <c r="Q205" s="2">
        <v>141.69999999999999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153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</row>
    <row r="206" spans="1:31" ht="26.5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139.4</v>
      </c>
      <c r="F206" s="2">
        <v>147.19999999999999</v>
      </c>
      <c r="G206" s="2">
        <v>136.6</v>
      </c>
      <c r="H206" s="2">
        <v>143.69999999999999</v>
      </c>
      <c r="I206" s="2">
        <v>124.6</v>
      </c>
      <c r="J206" s="2">
        <v>150.1</v>
      </c>
      <c r="K206" s="2">
        <v>149.4</v>
      </c>
      <c r="L206" s="2">
        <v>125.4</v>
      </c>
      <c r="M206" s="2">
        <v>114.4</v>
      </c>
      <c r="N206" s="2">
        <v>138.69999999999999</v>
      </c>
      <c r="O206" s="2">
        <v>133.1</v>
      </c>
      <c r="P206" s="2">
        <v>155.9</v>
      </c>
      <c r="Q206" s="2">
        <v>141.30000000000001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>
        <f>VLOOKUP($A206,'Impute housing Missing Value'!$A$1:$C$125,3,0)</f>
        <v>145.30000000000001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</row>
    <row r="207" spans="1:31" ht="26.5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137</v>
      </c>
      <c r="F207" s="2">
        <v>143.1</v>
      </c>
      <c r="G207" s="2">
        <v>132.80000000000001</v>
      </c>
      <c r="H207" s="2">
        <v>141.5</v>
      </c>
      <c r="I207" s="2">
        <v>117.8</v>
      </c>
      <c r="J207" s="2">
        <v>140</v>
      </c>
      <c r="K207" s="2">
        <v>151.30000000000001</v>
      </c>
      <c r="L207" s="2">
        <v>113.5</v>
      </c>
      <c r="M207" s="2">
        <v>112.3</v>
      </c>
      <c r="N207" s="2">
        <v>141.19999999999999</v>
      </c>
      <c r="O207" s="2">
        <v>127.7</v>
      </c>
      <c r="P207" s="2">
        <v>151.30000000000001</v>
      </c>
      <c r="Q207" s="2">
        <v>138.9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152.80000000000001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</row>
    <row r="208" spans="1:31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138.6</v>
      </c>
      <c r="F208" s="2">
        <v>145.80000000000001</v>
      </c>
      <c r="G208" s="2">
        <v>135.1</v>
      </c>
      <c r="H208" s="2">
        <v>142.9</v>
      </c>
      <c r="I208" s="2">
        <v>122.1</v>
      </c>
      <c r="J208" s="2">
        <v>145.4</v>
      </c>
      <c r="K208" s="2">
        <v>150</v>
      </c>
      <c r="L208" s="2">
        <v>121.4</v>
      </c>
      <c r="M208" s="2">
        <v>113.7</v>
      </c>
      <c r="N208" s="2">
        <v>139.5</v>
      </c>
      <c r="O208" s="2">
        <v>130.80000000000001</v>
      </c>
      <c r="P208" s="2">
        <v>153.80000000000001</v>
      </c>
      <c r="Q208" s="2">
        <v>140.4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153.9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</row>
    <row r="209" spans="1:31" ht="15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139.30000000000001</v>
      </c>
      <c r="F209" s="2">
        <v>147.6</v>
      </c>
      <c r="G209" s="2">
        <v>134.6</v>
      </c>
      <c r="H209" s="2">
        <v>141.9</v>
      </c>
      <c r="I209" s="2">
        <v>123.5</v>
      </c>
      <c r="J209" s="2">
        <v>144.5</v>
      </c>
      <c r="K209" s="2">
        <v>147.6</v>
      </c>
      <c r="L209" s="2">
        <v>121.4</v>
      </c>
      <c r="M209" s="2">
        <v>112.3</v>
      </c>
      <c r="N209" s="2">
        <v>139.5</v>
      </c>
      <c r="O209" s="2">
        <v>134.6</v>
      </c>
      <c r="P209" s="2">
        <v>155.19999999999999</v>
      </c>
      <c r="Q209" s="2">
        <v>140.19999999999999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>
        <f>VLOOKUP($A209,'Impute housing Missing Value'!$A$1:$C$125,3,0)</f>
        <v>146.30000000000001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</row>
    <row r="210" spans="1:31" ht="15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137.6</v>
      </c>
      <c r="F210" s="2">
        <v>144.9</v>
      </c>
      <c r="G210" s="2">
        <v>133.5</v>
      </c>
      <c r="H210" s="2">
        <v>141.5</v>
      </c>
      <c r="I210" s="2">
        <v>118</v>
      </c>
      <c r="J210" s="2">
        <v>139.5</v>
      </c>
      <c r="K210" s="2">
        <v>153</v>
      </c>
      <c r="L210" s="2">
        <v>113.2</v>
      </c>
      <c r="M210" s="2">
        <v>112.8</v>
      </c>
      <c r="N210" s="2">
        <v>141.1</v>
      </c>
      <c r="O210" s="2">
        <v>127.6</v>
      </c>
      <c r="P210" s="2">
        <v>152</v>
      </c>
      <c r="Q210" s="2">
        <v>139.4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154.5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</row>
    <row r="211" spans="1:31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137.4</v>
      </c>
      <c r="F211" s="2">
        <v>149.5</v>
      </c>
      <c r="G211" s="2">
        <v>137.30000000000001</v>
      </c>
      <c r="H211" s="2">
        <v>141.9</v>
      </c>
      <c r="I211" s="2">
        <v>121.1</v>
      </c>
      <c r="J211" s="2">
        <v>142.5</v>
      </c>
      <c r="K211" s="2">
        <v>146.69999999999999</v>
      </c>
      <c r="L211" s="2">
        <v>119.1</v>
      </c>
      <c r="M211" s="2">
        <v>111.9</v>
      </c>
      <c r="N211" s="2">
        <v>141</v>
      </c>
      <c r="O211" s="2">
        <v>133.6</v>
      </c>
      <c r="P211" s="2">
        <v>154.5</v>
      </c>
      <c r="Q211" s="2">
        <v>139.69999999999999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155.6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</row>
    <row r="212" spans="1:31" ht="26.5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137.1</v>
      </c>
      <c r="F212" s="2">
        <v>150.80000000000001</v>
      </c>
      <c r="G212" s="2">
        <v>136.69999999999999</v>
      </c>
      <c r="H212" s="2">
        <v>141.9</v>
      </c>
      <c r="I212" s="2">
        <v>122.8</v>
      </c>
      <c r="J212" s="2">
        <v>143.9</v>
      </c>
      <c r="K212" s="2">
        <v>147.5</v>
      </c>
      <c r="L212" s="2">
        <v>121</v>
      </c>
      <c r="M212" s="2">
        <v>111.6</v>
      </c>
      <c r="N212" s="2">
        <v>140.6</v>
      </c>
      <c r="O212" s="2">
        <v>137.5</v>
      </c>
      <c r="P212" s="2">
        <v>156.1</v>
      </c>
      <c r="Q212" s="2">
        <v>140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>
        <f>VLOOKUP($A212,'Impute housing Missing Value'!$A$1:$C$125,3,0)</f>
        <v>146.9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</row>
    <row r="213" spans="1:31" ht="26.5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138.1</v>
      </c>
      <c r="F213" s="2">
        <v>146.30000000000001</v>
      </c>
      <c r="G213" s="2">
        <v>137.80000000000001</v>
      </c>
      <c r="H213" s="2">
        <v>141.6</v>
      </c>
      <c r="I213" s="2">
        <v>118.1</v>
      </c>
      <c r="J213" s="2">
        <v>141.5</v>
      </c>
      <c r="K213" s="2">
        <v>145.19999999999999</v>
      </c>
      <c r="L213" s="2">
        <v>115.3</v>
      </c>
      <c r="M213" s="2">
        <v>112.5</v>
      </c>
      <c r="N213" s="2">
        <v>141.4</v>
      </c>
      <c r="O213" s="2">
        <v>128</v>
      </c>
      <c r="P213" s="2">
        <v>152.6</v>
      </c>
      <c r="Q213" s="2">
        <v>139.1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154.69999999999999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</row>
    <row r="214" spans="1:31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137.4</v>
      </c>
      <c r="F214" s="2">
        <v>149.19999999999999</v>
      </c>
      <c r="G214" s="2">
        <v>137.1</v>
      </c>
      <c r="H214" s="2">
        <v>141.80000000000001</v>
      </c>
      <c r="I214" s="2">
        <v>121.1</v>
      </c>
      <c r="J214" s="2">
        <v>142.80000000000001</v>
      </c>
      <c r="K214" s="2">
        <v>146.69999999999999</v>
      </c>
      <c r="L214" s="2">
        <v>119.1</v>
      </c>
      <c r="M214" s="2">
        <v>111.9</v>
      </c>
      <c r="N214" s="2">
        <v>140.9</v>
      </c>
      <c r="O214" s="2">
        <v>133.5</v>
      </c>
      <c r="P214" s="2">
        <v>154.5</v>
      </c>
      <c r="Q214" s="2">
        <v>139.69999999999999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154.69999999999999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</row>
    <row r="215" spans="1:31" ht="26.5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137.1</v>
      </c>
      <c r="F215" s="2">
        <v>151.9</v>
      </c>
      <c r="G215" s="2">
        <v>137.4</v>
      </c>
      <c r="H215" s="2">
        <v>142.4</v>
      </c>
      <c r="I215" s="2">
        <v>124.2</v>
      </c>
      <c r="J215" s="2">
        <v>140.19999999999999</v>
      </c>
      <c r="K215" s="2">
        <v>136.6</v>
      </c>
      <c r="L215" s="2">
        <v>120.9</v>
      </c>
      <c r="M215" s="2">
        <v>109.9</v>
      </c>
      <c r="N215" s="2">
        <v>140.19999999999999</v>
      </c>
      <c r="O215" s="2">
        <v>137.80000000000001</v>
      </c>
      <c r="P215" s="2">
        <v>156</v>
      </c>
      <c r="Q215" s="2">
        <v>138.5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>
        <f>VLOOKUP($A215,'Impute housing Missing Value'!$A$1:$C$125,3,0)</f>
        <v>146.5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</row>
    <row r="216" spans="1:31" ht="26.5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138.5</v>
      </c>
      <c r="F216" s="2">
        <v>147.80000000000001</v>
      </c>
      <c r="G216" s="2">
        <v>141.1</v>
      </c>
      <c r="H216" s="2">
        <v>141.6</v>
      </c>
      <c r="I216" s="2">
        <v>118.1</v>
      </c>
      <c r="J216" s="2">
        <v>138.5</v>
      </c>
      <c r="K216" s="2">
        <v>132.4</v>
      </c>
      <c r="L216" s="2">
        <v>117.5</v>
      </c>
      <c r="M216" s="2">
        <v>111</v>
      </c>
      <c r="N216" s="2">
        <v>141.5</v>
      </c>
      <c r="O216" s="2">
        <v>128.1</v>
      </c>
      <c r="P216" s="2">
        <v>152.9</v>
      </c>
      <c r="Q216" s="2">
        <v>137.6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156.30000000000001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</row>
    <row r="217" spans="1:31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137.5</v>
      </c>
      <c r="F217" s="2">
        <v>150.5</v>
      </c>
      <c r="G217" s="2">
        <v>138.80000000000001</v>
      </c>
      <c r="H217" s="2">
        <v>142.1</v>
      </c>
      <c r="I217" s="2">
        <v>122</v>
      </c>
      <c r="J217" s="2">
        <v>139.4</v>
      </c>
      <c r="K217" s="2">
        <v>135.19999999999999</v>
      </c>
      <c r="L217" s="2">
        <v>119.8</v>
      </c>
      <c r="M217" s="2">
        <v>110.3</v>
      </c>
      <c r="N217" s="2">
        <v>140.6</v>
      </c>
      <c r="O217" s="2">
        <v>133.80000000000001</v>
      </c>
      <c r="P217" s="2">
        <v>154.6</v>
      </c>
      <c r="Q217" s="2">
        <v>138.19999999999999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156.5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</row>
    <row r="218" spans="1:31" ht="15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136.6</v>
      </c>
      <c r="F218" s="2">
        <v>152.5</v>
      </c>
      <c r="G218" s="2">
        <v>138.19999999999999</v>
      </c>
      <c r="H218" s="2">
        <v>142.4</v>
      </c>
      <c r="I218" s="2">
        <v>123.9</v>
      </c>
      <c r="J218" s="2">
        <v>135.5</v>
      </c>
      <c r="K218" s="2">
        <v>131.69999999999999</v>
      </c>
      <c r="L218" s="2">
        <v>121.3</v>
      </c>
      <c r="M218" s="2">
        <v>108.4</v>
      </c>
      <c r="N218" s="2">
        <v>138.9</v>
      </c>
      <c r="O218" s="2">
        <v>137</v>
      </c>
      <c r="P218" s="2">
        <v>155.80000000000001</v>
      </c>
      <c r="Q218" s="2">
        <v>137.4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>
        <f>VLOOKUP($A218,'Impute housing Missing Value'!$A$1:$C$125,3,0)</f>
        <v>147.69999999999999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</row>
    <row r="219" spans="1:31" ht="15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138.30000000000001</v>
      </c>
      <c r="F219" s="2">
        <v>149.4</v>
      </c>
      <c r="G219" s="2">
        <v>143.5</v>
      </c>
      <c r="H219" s="2">
        <v>141.69999999999999</v>
      </c>
      <c r="I219" s="2">
        <v>118.1</v>
      </c>
      <c r="J219" s="2">
        <v>135.19999999999999</v>
      </c>
      <c r="K219" s="2">
        <v>130.5</v>
      </c>
      <c r="L219" s="2">
        <v>118.2</v>
      </c>
      <c r="M219" s="2">
        <v>110.4</v>
      </c>
      <c r="N219" s="2">
        <v>140.4</v>
      </c>
      <c r="O219" s="2">
        <v>128.1</v>
      </c>
      <c r="P219" s="2">
        <v>153.19999999999999</v>
      </c>
      <c r="Q219" s="2">
        <v>137.30000000000001</v>
      </c>
      <c r="R219" s="2">
        <v>164.7</v>
      </c>
      <c r="S219" s="2">
        <v>143</v>
      </c>
      <c r="T219" s="2">
        <v>130.4</v>
      </c>
      <c r="U219" s="2">
        <v>141.1</v>
      </c>
      <c r="V219" s="2">
        <v>158.4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</row>
    <row r="220" spans="1:31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137.1</v>
      </c>
      <c r="F220" s="2">
        <v>151.4</v>
      </c>
      <c r="G220" s="2">
        <v>140.19999999999999</v>
      </c>
      <c r="H220" s="2">
        <v>142.1</v>
      </c>
      <c r="I220" s="2">
        <v>121.8</v>
      </c>
      <c r="J220" s="2">
        <v>135.4</v>
      </c>
      <c r="K220" s="2">
        <v>131.30000000000001</v>
      </c>
      <c r="L220" s="2">
        <v>120.3</v>
      </c>
      <c r="M220" s="2">
        <v>109.1</v>
      </c>
      <c r="N220" s="2">
        <v>139.4</v>
      </c>
      <c r="O220" s="2">
        <v>133.30000000000001</v>
      </c>
      <c r="P220" s="2">
        <v>154.6</v>
      </c>
      <c r="Q220" s="2">
        <v>137.4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157.69999999999999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</row>
    <row r="221" spans="1:31" ht="15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136.80000000000001</v>
      </c>
      <c r="F221" s="2">
        <v>153</v>
      </c>
      <c r="G221" s="2">
        <v>139.1</v>
      </c>
      <c r="H221" s="2">
        <v>142.5</v>
      </c>
      <c r="I221" s="2">
        <v>124.1</v>
      </c>
      <c r="J221" s="2">
        <v>135.80000000000001</v>
      </c>
      <c r="K221" s="2">
        <v>128.69999999999999</v>
      </c>
      <c r="L221" s="2">
        <v>121.5</v>
      </c>
      <c r="M221" s="2">
        <v>108.3</v>
      </c>
      <c r="N221" s="2">
        <v>139.19999999999999</v>
      </c>
      <c r="O221" s="2">
        <v>137.4</v>
      </c>
      <c r="P221" s="2">
        <v>156.19999999999999</v>
      </c>
      <c r="Q221" s="2">
        <v>137.19999999999999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>
        <f>VLOOKUP($A221,'Impute housing Missing Value'!$A$1:$C$125,3,0)</f>
        <v>148.5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</row>
    <row r="222" spans="1:31" ht="15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139.4</v>
      </c>
      <c r="F222" s="2">
        <v>150.1</v>
      </c>
      <c r="G222" s="2">
        <v>145.30000000000001</v>
      </c>
      <c r="H222" s="2">
        <v>141.69999999999999</v>
      </c>
      <c r="I222" s="2">
        <v>118.4</v>
      </c>
      <c r="J222" s="2">
        <v>137</v>
      </c>
      <c r="K222" s="2">
        <v>131.6</v>
      </c>
      <c r="L222" s="2">
        <v>119.9</v>
      </c>
      <c r="M222" s="2">
        <v>110.4</v>
      </c>
      <c r="N222" s="2">
        <v>140.80000000000001</v>
      </c>
      <c r="O222" s="2">
        <v>128.30000000000001</v>
      </c>
      <c r="P222" s="2">
        <v>153.5</v>
      </c>
      <c r="Q222" s="2">
        <v>138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159.9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</row>
    <row r="223" spans="1:31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137.6</v>
      </c>
      <c r="F223" s="2">
        <v>152</v>
      </c>
      <c r="G223" s="2">
        <v>141.5</v>
      </c>
      <c r="H223" s="2">
        <v>142.19999999999999</v>
      </c>
      <c r="I223" s="2">
        <v>122</v>
      </c>
      <c r="J223" s="2">
        <v>136.4</v>
      </c>
      <c r="K223" s="2">
        <v>129.69999999999999</v>
      </c>
      <c r="L223" s="2">
        <v>121</v>
      </c>
      <c r="M223" s="2">
        <v>109</v>
      </c>
      <c r="N223" s="2">
        <v>139.69999999999999</v>
      </c>
      <c r="O223" s="2">
        <v>133.6</v>
      </c>
      <c r="P223" s="2">
        <v>154.9</v>
      </c>
      <c r="Q223" s="2">
        <v>137.5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161.4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</row>
    <row r="224" spans="1:31" ht="15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136.9</v>
      </c>
      <c r="F224" s="2">
        <v>154.1</v>
      </c>
      <c r="G224" s="2">
        <v>138.69999999999999</v>
      </c>
      <c r="H224" s="2">
        <v>142.5</v>
      </c>
      <c r="I224" s="2">
        <v>124.1</v>
      </c>
      <c r="J224" s="2">
        <v>136.1</v>
      </c>
      <c r="K224" s="2">
        <v>128.19999999999999</v>
      </c>
      <c r="L224" s="2">
        <v>122.3</v>
      </c>
      <c r="M224" s="2">
        <v>108.3</v>
      </c>
      <c r="N224" s="2">
        <v>138.9</v>
      </c>
      <c r="O224" s="2">
        <v>137.4</v>
      </c>
      <c r="P224" s="2">
        <v>156.4</v>
      </c>
      <c r="Q224" s="2">
        <v>137.30000000000001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>
        <f>VLOOKUP($A224,'Impute housing Missing Value'!$A$1:$C$125,3,0)</f>
        <v>149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</row>
    <row r="225" spans="1:31" ht="15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139.69999999999999</v>
      </c>
      <c r="F225" s="2">
        <v>151.1</v>
      </c>
      <c r="G225" s="2">
        <v>142.9</v>
      </c>
      <c r="H225" s="2">
        <v>141.9</v>
      </c>
      <c r="I225" s="2">
        <v>118.4</v>
      </c>
      <c r="J225" s="2">
        <v>139.4</v>
      </c>
      <c r="K225" s="2">
        <v>141.19999999999999</v>
      </c>
      <c r="L225" s="2">
        <v>120.7</v>
      </c>
      <c r="M225" s="2">
        <v>110.4</v>
      </c>
      <c r="N225" s="2">
        <v>140.69999999999999</v>
      </c>
      <c r="O225" s="2">
        <v>128.5</v>
      </c>
      <c r="P225" s="2">
        <v>153.9</v>
      </c>
      <c r="Q225" s="2">
        <v>139.6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160.5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</row>
    <row r="226" spans="1:31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137.80000000000001</v>
      </c>
      <c r="F226" s="2">
        <v>153</v>
      </c>
      <c r="G226" s="2">
        <v>140.30000000000001</v>
      </c>
      <c r="H226" s="2">
        <v>142.30000000000001</v>
      </c>
      <c r="I226" s="2">
        <v>122</v>
      </c>
      <c r="J226" s="2">
        <v>137.6</v>
      </c>
      <c r="K226" s="2">
        <v>132.6</v>
      </c>
      <c r="L226" s="2">
        <v>121.8</v>
      </c>
      <c r="M226" s="2">
        <v>109</v>
      </c>
      <c r="N226" s="2">
        <v>139.5</v>
      </c>
      <c r="O226" s="2">
        <v>133.69999999999999</v>
      </c>
      <c r="P226" s="2">
        <v>155.19999999999999</v>
      </c>
      <c r="Q226" s="2">
        <v>138.1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161.5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</row>
    <row r="227" spans="1:31" ht="15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137.4</v>
      </c>
      <c r="F227" s="2">
        <v>159.5</v>
      </c>
      <c r="G227" s="2">
        <v>134.5</v>
      </c>
      <c r="H227" s="2">
        <v>142.6</v>
      </c>
      <c r="I227" s="2">
        <v>124</v>
      </c>
      <c r="J227" s="2">
        <v>143.69999999999999</v>
      </c>
      <c r="K227" s="2">
        <v>133.4</v>
      </c>
      <c r="L227" s="2">
        <v>125.1</v>
      </c>
      <c r="M227" s="2">
        <v>109.3</v>
      </c>
      <c r="N227" s="2">
        <v>139.30000000000001</v>
      </c>
      <c r="O227" s="2">
        <v>137.69999999999999</v>
      </c>
      <c r="P227" s="2">
        <v>156.4</v>
      </c>
      <c r="Q227" s="2">
        <v>139.19999999999999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>
        <f>VLOOKUP($A227,'Impute housing Missing Value'!$A$1:$C$125,3,0)</f>
        <v>150.1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</row>
    <row r="228" spans="1:31" ht="15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140.4</v>
      </c>
      <c r="F228" s="2">
        <v>156.69999999999999</v>
      </c>
      <c r="G228" s="2">
        <v>138.30000000000001</v>
      </c>
      <c r="H228" s="2">
        <v>142.4</v>
      </c>
      <c r="I228" s="2">
        <v>118.6</v>
      </c>
      <c r="J228" s="2">
        <v>149.69999999999999</v>
      </c>
      <c r="K228" s="2">
        <v>161.6</v>
      </c>
      <c r="L228" s="2">
        <v>124.4</v>
      </c>
      <c r="M228" s="2">
        <v>111.2</v>
      </c>
      <c r="N228" s="2">
        <v>141</v>
      </c>
      <c r="O228" s="2">
        <v>128.9</v>
      </c>
      <c r="P228" s="2">
        <v>154.5</v>
      </c>
      <c r="Q228" s="2">
        <v>143.80000000000001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162.1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</row>
    <row r="229" spans="1:31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138.30000000000001</v>
      </c>
      <c r="F229" s="2">
        <v>158.5</v>
      </c>
      <c r="G229" s="2">
        <v>136</v>
      </c>
      <c r="H229" s="2">
        <v>142.5</v>
      </c>
      <c r="I229" s="2">
        <v>122</v>
      </c>
      <c r="J229" s="2">
        <v>146.5</v>
      </c>
      <c r="K229" s="2">
        <v>143</v>
      </c>
      <c r="L229" s="2">
        <v>124.9</v>
      </c>
      <c r="M229" s="2">
        <v>109.9</v>
      </c>
      <c r="N229" s="2">
        <v>139.9</v>
      </c>
      <c r="O229" s="2">
        <v>134</v>
      </c>
      <c r="P229" s="2">
        <v>155.5</v>
      </c>
      <c r="Q229" s="2">
        <v>140.9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163.6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</row>
    <row r="230" spans="1:31" ht="15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137.80000000000001</v>
      </c>
      <c r="F230" s="2">
        <v>163.5</v>
      </c>
      <c r="G230" s="2">
        <v>136.19999999999999</v>
      </c>
      <c r="H230" s="2">
        <v>143.19999999999999</v>
      </c>
      <c r="I230" s="2">
        <v>124.3</v>
      </c>
      <c r="J230" s="2">
        <v>143.30000000000001</v>
      </c>
      <c r="K230" s="2">
        <v>140.6</v>
      </c>
      <c r="L230" s="2">
        <v>128.69999999999999</v>
      </c>
      <c r="M230" s="2">
        <v>110.6</v>
      </c>
      <c r="N230" s="2">
        <v>140.4</v>
      </c>
      <c r="O230" s="2">
        <v>138</v>
      </c>
      <c r="P230" s="2">
        <v>156.6</v>
      </c>
      <c r="Q230" s="2">
        <v>141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>
        <f>VLOOKUP($A230,'Impute housing Missing Value'!$A$1:$C$125,3,0)</f>
        <v>149.4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</row>
    <row r="231" spans="1:31" ht="15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140.69999999999999</v>
      </c>
      <c r="F231" s="2">
        <v>159.6</v>
      </c>
      <c r="G231" s="2">
        <v>140.4</v>
      </c>
      <c r="H231" s="2">
        <v>143.4</v>
      </c>
      <c r="I231" s="2">
        <v>118.6</v>
      </c>
      <c r="J231" s="2">
        <v>150.9</v>
      </c>
      <c r="K231" s="2">
        <v>169.8</v>
      </c>
      <c r="L231" s="2">
        <v>127.4</v>
      </c>
      <c r="M231" s="2">
        <v>111.8</v>
      </c>
      <c r="N231" s="2">
        <v>141</v>
      </c>
      <c r="O231" s="2">
        <v>129</v>
      </c>
      <c r="P231" s="2">
        <v>155.1</v>
      </c>
      <c r="Q231" s="2">
        <v>145.6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163.4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</row>
    <row r="232" spans="1:31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138.69999999999999</v>
      </c>
      <c r="F232" s="2">
        <v>162.1</v>
      </c>
      <c r="G232" s="2">
        <v>137.80000000000001</v>
      </c>
      <c r="H232" s="2">
        <v>143.30000000000001</v>
      </c>
      <c r="I232" s="2">
        <v>122.2</v>
      </c>
      <c r="J232" s="2">
        <v>146.80000000000001</v>
      </c>
      <c r="K232" s="2">
        <v>150.5</v>
      </c>
      <c r="L232" s="2">
        <v>128.30000000000001</v>
      </c>
      <c r="M232" s="2">
        <v>111</v>
      </c>
      <c r="N232" s="2">
        <v>140.6</v>
      </c>
      <c r="O232" s="2">
        <v>134.19999999999999</v>
      </c>
      <c r="P232" s="2">
        <v>155.9</v>
      </c>
      <c r="Q232" s="2">
        <v>142.69999999999999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164.5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</row>
    <row r="233" spans="1:31" ht="15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138.4</v>
      </c>
      <c r="F233" s="2">
        <v>164</v>
      </c>
      <c r="G233" s="2">
        <v>138.4</v>
      </c>
      <c r="H233" s="2">
        <v>143.9</v>
      </c>
      <c r="I233" s="2">
        <v>124.4</v>
      </c>
      <c r="J233" s="2">
        <v>146.4</v>
      </c>
      <c r="K233" s="2">
        <v>150.1</v>
      </c>
      <c r="L233" s="2">
        <v>130.6</v>
      </c>
      <c r="M233" s="2">
        <v>110.8</v>
      </c>
      <c r="N233" s="2">
        <v>141.69999999999999</v>
      </c>
      <c r="O233" s="2">
        <v>138.5</v>
      </c>
      <c r="P233" s="2">
        <v>156.69999999999999</v>
      </c>
      <c r="Q233" s="2">
        <v>143</v>
      </c>
      <c r="R233" s="2">
        <v>164.5</v>
      </c>
      <c r="S233" s="2">
        <v>151.6</v>
      </c>
      <c r="T233" s="2">
        <v>146.6</v>
      </c>
      <c r="U233" s="2">
        <v>150.9</v>
      </c>
      <c r="V233" s="2">
        <f>VLOOKUP($A233,'Impute housing Missing Value'!$A$1:$C$125,3,0)</f>
        <v>150.6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</row>
    <row r="234" spans="1:31" ht="15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141.4</v>
      </c>
      <c r="F234" s="2">
        <v>160.19999999999999</v>
      </c>
      <c r="G234" s="2">
        <v>142.5</v>
      </c>
      <c r="H234" s="2">
        <v>144.1</v>
      </c>
      <c r="I234" s="2">
        <v>119.3</v>
      </c>
      <c r="J234" s="2">
        <v>154.69999999999999</v>
      </c>
      <c r="K234" s="2">
        <v>180.1</v>
      </c>
      <c r="L234" s="2">
        <v>128.9</v>
      </c>
      <c r="M234" s="2">
        <v>111.8</v>
      </c>
      <c r="N234" s="2">
        <v>141.6</v>
      </c>
      <c r="O234" s="2">
        <v>129.5</v>
      </c>
      <c r="P234" s="2">
        <v>155.6</v>
      </c>
      <c r="Q234" s="2">
        <v>147.69999999999999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165.3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</row>
    <row r="235" spans="1:31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139.30000000000001</v>
      </c>
      <c r="F235" s="2">
        <v>162.69999999999999</v>
      </c>
      <c r="G235" s="2">
        <v>140</v>
      </c>
      <c r="H235" s="2">
        <v>144</v>
      </c>
      <c r="I235" s="2">
        <v>122.5</v>
      </c>
      <c r="J235" s="2">
        <v>150.30000000000001</v>
      </c>
      <c r="K235" s="2">
        <v>160.30000000000001</v>
      </c>
      <c r="L235" s="2">
        <v>130</v>
      </c>
      <c r="M235" s="2">
        <v>111.1</v>
      </c>
      <c r="N235" s="2">
        <v>141.69999999999999</v>
      </c>
      <c r="O235" s="2">
        <v>134.69999999999999</v>
      </c>
      <c r="P235" s="2">
        <v>156.19999999999999</v>
      </c>
      <c r="Q235" s="2">
        <v>144.69999999999999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167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</row>
    <row r="236" spans="1:31" ht="15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139.19999999999999</v>
      </c>
      <c r="F236" s="2">
        <v>161.9</v>
      </c>
      <c r="G236" s="2">
        <v>137.1</v>
      </c>
      <c r="H236" s="2">
        <v>144.6</v>
      </c>
      <c r="I236" s="2">
        <v>124.7</v>
      </c>
      <c r="J236" s="2">
        <v>145.5</v>
      </c>
      <c r="K236" s="2">
        <v>156.19999999999999</v>
      </c>
      <c r="L236" s="2">
        <v>131.5</v>
      </c>
      <c r="M236" s="2">
        <v>111.7</v>
      </c>
      <c r="N236" s="2">
        <v>142.69999999999999</v>
      </c>
      <c r="O236" s="2">
        <v>138.5</v>
      </c>
      <c r="P236" s="2">
        <v>156.9</v>
      </c>
      <c r="Q236" s="2">
        <v>144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>
        <f>VLOOKUP($A236,'Impute housing Missing Value'!$A$1:$C$125,3,0)</f>
        <v>151.6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</row>
    <row r="237" spans="1:31" ht="15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142.1</v>
      </c>
      <c r="F237" s="2">
        <v>158.30000000000001</v>
      </c>
      <c r="G237" s="2">
        <v>140.80000000000001</v>
      </c>
      <c r="H237" s="2">
        <v>144.9</v>
      </c>
      <c r="I237" s="2">
        <v>119.9</v>
      </c>
      <c r="J237" s="2">
        <v>153.9</v>
      </c>
      <c r="K237" s="2">
        <v>189.1</v>
      </c>
      <c r="L237" s="2">
        <v>129.80000000000001</v>
      </c>
      <c r="M237" s="2">
        <v>112.7</v>
      </c>
      <c r="N237" s="2">
        <v>142.5</v>
      </c>
      <c r="O237" s="2">
        <v>129.80000000000001</v>
      </c>
      <c r="P237" s="2">
        <v>156.19999999999999</v>
      </c>
      <c r="Q237" s="2">
        <v>149.1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166.8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</row>
    <row r="238" spans="1:31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140.1</v>
      </c>
      <c r="F238" s="2">
        <v>160.6</v>
      </c>
      <c r="G238" s="2">
        <v>138.5</v>
      </c>
      <c r="H238" s="2">
        <v>144.69999999999999</v>
      </c>
      <c r="I238" s="2">
        <v>122.9</v>
      </c>
      <c r="J238" s="2">
        <v>149.4</v>
      </c>
      <c r="K238" s="2">
        <v>167.4</v>
      </c>
      <c r="L238" s="2">
        <v>130.9</v>
      </c>
      <c r="M238" s="2">
        <v>112</v>
      </c>
      <c r="N238" s="2">
        <v>142.6</v>
      </c>
      <c r="O238" s="2">
        <v>134.9</v>
      </c>
      <c r="P238" s="2">
        <v>156.6</v>
      </c>
      <c r="Q238" s="2">
        <v>145.9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167.8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</row>
    <row r="239" spans="1:31" ht="26.5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140.1</v>
      </c>
      <c r="F239" s="2">
        <v>161.9</v>
      </c>
      <c r="G239" s="2">
        <v>138.30000000000001</v>
      </c>
      <c r="H239" s="2">
        <v>145.69999999999999</v>
      </c>
      <c r="I239" s="2">
        <v>125.1</v>
      </c>
      <c r="J239" s="2">
        <v>143.80000000000001</v>
      </c>
      <c r="K239" s="2">
        <v>163.4</v>
      </c>
      <c r="L239" s="2">
        <v>132.19999999999999</v>
      </c>
      <c r="M239" s="2">
        <v>112.8</v>
      </c>
      <c r="N239" s="2">
        <v>144.19999999999999</v>
      </c>
      <c r="O239" s="2">
        <v>138.5</v>
      </c>
      <c r="P239" s="2">
        <v>157.19999999999999</v>
      </c>
      <c r="Q239" s="2">
        <v>145.5</v>
      </c>
      <c r="R239" s="2">
        <v>165.7</v>
      </c>
      <c r="S239" s="2">
        <v>151.69999999999999</v>
      </c>
      <c r="T239" s="2">
        <v>146.6</v>
      </c>
      <c r="U239" s="2">
        <v>151</v>
      </c>
      <c r="V239" s="2">
        <f>VLOOKUP($A239,'Impute housing Missing Value'!$A$1:$C$125,3,0)</f>
        <v>152.19999999999999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</row>
    <row r="240" spans="1:31" ht="26.5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142.69999999999999</v>
      </c>
      <c r="F240" s="2">
        <v>158.69999999999999</v>
      </c>
      <c r="G240" s="2">
        <v>141.6</v>
      </c>
      <c r="H240" s="2">
        <v>144.9</v>
      </c>
      <c r="I240" s="2">
        <v>120.8</v>
      </c>
      <c r="J240" s="2">
        <v>149.80000000000001</v>
      </c>
      <c r="K240" s="2">
        <v>192.4</v>
      </c>
      <c r="L240" s="2">
        <v>130.30000000000001</v>
      </c>
      <c r="M240" s="2">
        <v>114</v>
      </c>
      <c r="N240" s="2">
        <v>143.80000000000001</v>
      </c>
      <c r="O240" s="2">
        <v>130</v>
      </c>
      <c r="P240" s="2">
        <v>156.4</v>
      </c>
      <c r="Q240" s="2">
        <v>149.5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169.5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</row>
    <row r="241" spans="1:31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140.9</v>
      </c>
      <c r="F241" s="2">
        <v>160.80000000000001</v>
      </c>
      <c r="G241" s="2">
        <v>139.6</v>
      </c>
      <c r="H241" s="2">
        <v>145.4</v>
      </c>
      <c r="I241" s="2">
        <v>123.5</v>
      </c>
      <c r="J241" s="2">
        <v>146.6</v>
      </c>
      <c r="K241" s="2">
        <v>173.2</v>
      </c>
      <c r="L241" s="2">
        <v>131.6</v>
      </c>
      <c r="M241" s="2">
        <v>113.2</v>
      </c>
      <c r="N241" s="2">
        <v>144.1</v>
      </c>
      <c r="O241" s="2">
        <v>135</v>
      </c>
      <c r="P241" s="2">
        <v>156.80000000000001</v>
      </c>
      <c r="Q241" s="2">
        <v>147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171.2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</row>
    <row r="242" spans="1:31" ht="15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141</v>
      </c>
      <c r="F242" s="2">
        <v>161.6</v>
      </c>
      <c r="G242" s="2">
        <v>141.19999999999999</v>
      </c>
      <c r="H242" s="2">
        <v>146.5</v>
      </c>
      <c r="I242" s="2">
        <v>125.6</v>
      </c>
      <c r="J242" s="2">
        <v>145.69999999999999</v>
      </c>
      <c r="K242" s="2">
        <v>178.8</v>
      </c>
      <c r="L242" s="2">
        <v>133.1</v>
      </c>
      <c r="M242" s="2">
        <v>113.6</v>
      </c>
      <c r="N242" s="2">
        <v>145.5</v>
      </c>
      <c r="O242" s="2">
        <v>138.6</v>
      </c>
      <c r="P242" s="2">
        <v>157.4</v>
      </c>
      <c r="Q242" s="2">
        <v>148.30000000000001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>
        <f>VLOOKUP($A242,'Impute housing Missing Value'!$A$1:$C$125,3,0)</f>
        <v>153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</row>
    <row r="243" spans="1:31" ht="15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143.5</v>
      </c>
      <c r="F243" s="2">
        <v>159.80000000000001</v>
      </c>
      <c r="G243" s="2">
        <v>144.69999999999999</v>
      </c>
      <c r="H243" s="2">
        <v>145.6</v>
      </c>
      <c r="I243" s="2">
        <v>121.1</v>
      </c>
      <c r="J243" s="2">
        <v>150.6</v>
      </c>
      <c r="K243" s="2">
        <v>207.2</v>
      </c>
      <c r="L243" s="2">
        <v>131.19999999999999</v>
      </c>
      <c r="M243" s="2">
        <v>114.8</v>
      </c>
      <c r="N243" s="2">
        <v>145.19999999999999</v>
      </c>
      <c r="O243" s="2">
        <v>130.19999999999999</v>
      </c>
      <c r="P243" s="2">
        <v>156.80000000000001</v>
      </c>
      <c r="Q243" s="2">
        <v>151.9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170.7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</row>
    <row r="244" spans="1:31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141.80000000000001</v>
      </c>
      <c r="F244" s="2">
        <v>161</v>
      </c>
      <c r="G244" s="2">
        <v>142.6</v>
      </c>
      <c r="H244" s="2">
        <v>146.19999999999999</v>
      </c>
      <c r="I244" s="2">
        <v>123.9</v>
      </c>
      <c r="J244" s="2">
        <v>148</v>
      </c>
      <c r="K244" s="2">
        <v>188.4</v>
      </c>
      <c r="L244" s="2">
        <v>132.5</v>
      </c>
      <c r="M244" s="2">
        <v>114</v>
      </c>
      <c r="N244" s="2">
        <v>145.4</v>
      </c>
      <c r="O244" s="2">
        <v>135.1</v>
      </c>
      <c r="P244" s="2">
        <v>157.1</v>
      </c>
      <c r="Q244" s="2">
        <v>149.6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172.1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</row>
    <row r="245" spans="1:31" ht="26.5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141.80000000000001</v>
      </c>
      <c r="F245" s="2">
        <v>163.69999999999999</v>
      </c>
      <c r="G245" s="2">
        <v>143.80000000000001</v>
      </c>
      <c r="H245" s="2">
        <v>147.1</v>
      </c>
      <c r="I245" s="2">
        <v>126</v>
      </c>
      <c r="J245" s="2">
        <v>146.19999999999999</v>
      </c>
      <c r="K245" s="2">
        <v>191.4</v>
      </c>
      <c r="L245" s="2">
        <v>136.19999999999999</v>
      </c>
      <c r="M245" s="2">
        <v>113.8</v>
      </c>
      <c r="N245" s="2">
        <v>147.30000000000001</v>
      </c>
      <c r="O245" s="2">
        <v>138.69999999999999</v>
      </c>
      <c r="P245" s="2">
        <v>157.69999999999999</v>
      </c>
      <c r="Q245" s="2">
        <v>150.9</v>
      </c>
      <c r="R245" s="2">
        <v>167.2</v>
      </c>
      <c r="S245" s="2">
        <v>152.30000000000001</v>
      </c>
      <c r="T245" s="2">
        <v>147</v>
      </c>
      <c r="U245" s="2">
        <v>151.5</v>
      </c>
      <c r="V245" s="2">
        <f>VLOOKUP($A245,'Impute housing Missing Value'!$A$1:$C$125,3,0)</f>
        <v>153.5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</row>
    <row r="246" spans="1:31" ht="26.5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144.1</v>
      </c>
      <c r="F246" s="2">
        <v>162.4</v>
      </c>
      <c r="G246" s="2">
        <v>148.4</v>
      </c>
      <c r="H246" s="2">
        <v>145.9</v>
      </c>
      <c r="I246" s="2">
        <v>121.5</v>
      </c>
      <c r="J246" s="2">
        <v>148.80000000000001</v>
      </c>
      <c r="K246" s="2">
        <v>215.7</v>
      </c>
      <c r="L246" s="2">
        <v>134.6</v>
      </c>
      <c r="M246" s="2">
        <v>115</v>
      </c>
      <c r="N246" s="2">
        <v>146.30000000000001</v>
      </c>
      <c r="O246" s="2">
        <v>130.5</v>
      </c>
      <c r="P246" s="2">
        <v>157.19999999999999</v>
      </c>
      <c r="Q246" s="2">
        <v>153.6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173.5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</row>
    <row r="247" spans="1:31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142.5</v>
      </c>
      <c r="F247" s="2">
        <v>163.19999999999999</v>
      </c>
      <c r="G247" s="2">
        <v>145.6</v>
      </c>
      <c r="H247" s="2">
        <v>146.69999999999999</v>
      </c>
      <c r="I247" s="2">
        <v>124.3</v>
      </c>
      <c r="J247" s="2">
        <v>147.4</v>
      </c>
      <c r="K247" s="2">
        <v>199.6</v>
      </c>
      <c r="L247" s="2">
        <v>135.69999999999999</v>
      </c>
      <c r="M247" s="2">
        <v>114.2</v>
      </c>
      <c r="N247" s="2">
        <v>147</v>
      </c>
      <c r="O247" s="2">
        <v>135.30000000000001</v>
      </c>
      <c r="P247" s="2">
        <v>157.5</v>
      </c>
      <c r="Q247" s="2">
        <v>151.9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175.2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</row>
    <row r="248" spans="1:31" ht="26.5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142.80000000000001</v>
      </c>
      <c r="F248" s="2">
        <v>165.3</v>
      </c>
      <c r="G248" s="2">
        <v>149.5</v>
      </c>
      <c r="H248" s="2">
        <v>148.69999999999999</v>
      </c>
      <c r="I248" s="2">
        <v>127.5</v>
      </c>
      <c r="J248" s="2">
        <v>144.30000000000001</v>
      </c>
      <c r="K248" s="2">
        <v>209.5</v>
      </c>
      <c r="L248" s="2">
        <v>138.80000000000001</v>
      </c>
      <c r="M248" s="2">
        <v>113.6</v>
      </c>
      <c r="N248" s="2">
        <v>149.1</v>
      </c>
      <c r="O248" s="2">
        <v>139.30000000000001</v>
      </c>
      <c r="P248" s="2">
        <v>158.30000000000001</v>
      </c>
      <c r="Q248" s="2">
        <v>154.30000000000001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>
        <f>VLOOKUP($A248,'Impute housing Missing Value'!$A$1:$C$125,3,0)</f>
        <v>152.80000000000001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</row>
    <row r="249" spans="1:31" ht="26.5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144.9</v>
      </c>
      <c r="F249" s="2">
        <v>164.5</v>
      </c>
      <c r="G249" s="2">
        <v>153.69999999999999</v>
      </c>
      <c r="H249" s="2">
        <v>147.5</v>
      </c>
      <c r="I249" s="2">
        <v>122.7</v>
      </c>
      <c r="J249" s="2">
        <v>147.19999999999999</v>
      </c>
      <c r="K249" s="2">
        <v>231.5</v>
      </c>
      <c r="L249" s="2">
        <v>137.19999999999999</v>
      </c>
      <c r="M249" s="2">
        <v>114.7</v>
      </c>
      <c r="N249" s="2">
        <v>148</v>
      </c>
      <c r="O249" s="2">
        <v>130.80000000000001</v>
      </c>
      <c r="P249" s="2">
        <v>157.69999999999999</v>
      </c>
      <c r="Q249" s="2">
        <v>156.30000000000001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</row>
    <row r="250" spans="1:31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143.5</v>
      </c>
      <c r="F250" s="2">
        <v>165</v>
      </c>
      <c r="G250" s="2">
        <v>151.1</v>
      </c>
      <c r="H250" s="2">
        <v>148.30000000000001</v>
      </c>
      <c r="I250" s="2">
        <v>125.7</v>
      </c>
      <c r="J250" s="2">
        <v>145.69999999999999</v>
      </c>
      <c r="K250" s="2">
        <v>217</v>
      </c>
      <c r="L250" s="2">
        <v>138.30000000000001</v>
      </c>
      <c r="M250" s="2">
        <v>114</v>
      </c>
      <c r="N250" s="2">
        <v>148.69999999999999</v>
      </c>
      <c r="O250" s="2">
        <v>135.80000000000001</v>
      </c>
      <c r="P250" s="2">
        <v>158</v>
      </c>
      <c r="Q250" s="2">
        <v>155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</row>
    <row r="251" spans="1:31" ht="15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143.69999999999999</v>
      </c>
      <c r="F251" s="2">
        <v>167.3</v>
      </c>
      <c r="G251" s="2">
        <v>153.5</v>
      </c>
      <c r="H251" s="2">
        <v>150.5</v>
      </c>
      <c r="I251" s="2">
        <v>132</v>
      </c>
      <c r="J251" s="2">
        <v>142.19999999999999</v>
      </c>
      <c r="K251" s="2">
        <v>191.5</v>
      </c>
      <c r="L251" s="2">
        <v>141.1</v>
      </c>
      <c r="M251" s="2">
        <v>113.8</v>
      </c>
      <c r="N251" s="2">
        <v>151.6</v>
      </c>
      <c r="O251" s="2">
        <v>139.69999999999999</v>
      </c>
      <c r="P251" s="2">
        <v>158.69999999999999</v>
      </c>
      <c r="Q251" s="2">
        <v>153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>
        <f>VLOOKUP($A251,'Impute housing Missing Value'!$A$1:$C$125,3,0)</f>
        <v>153.9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</row>
    <row r="252" spans="1:31" ht="15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145.6</v>
      </c>
      <c r="F252" s="2">
        <v>167.6</v>
      </c>
      <c r="G252" s="2">
        <v>157</v>
      </c>
      <c r="H252" s="2">
        <v>149.30000000000001</v>
      </c>
      <c r="I252" s="2">
        <v>126.3</v>
      </c>
      <c r="J252" s="2">
        <v>144.4</v>
      </c>
      <c r="K252" s="2">
        <v>207.8</v>
      </c>
      <c r="L252" s="2">
        <v>139.1</v>
      </c>
      <c r="M252" s="2">
        <v>114.8</v>
      </c>
      <c r="N252" s="2">
        <v>149.5</v>
      </c>
      <c r="O252" s="2">
        <v>131.1</v>
      </c>
      <c r="P252" s="2">
        <v>158.5</v>
      </c>
      <c r="Q252" s="2">
        <v>154.4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</row>
    <row r="253" spans="1:31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144.30000000000001</v>
      </c>
      <c r="F253" s="2">
        <v>167.4</v>
      </c>
      <c r="G253" s="2">
        <v>154.9</v>
      </c>
      <c r="H253" s="2">
        <v>150.1</v>
      </c>
      <c r="I253" s="2">
        <v>129.9</v>
      </c>
      <c r="J253" s="2">
        <v>143.19999999999999</v>
      </c>
      <c r="K253" s="2">
        <v>197</v>
      </c>
      <c r="L253" s="2">
        <v>140.4</v>
      </c>
      <c r="M253" s="2">
        <v>114.1</v>
      </c>
      <c r="N253" s="2">
        <v>150.9</v>
      </c>
      <c r="O253" s="2">
        <v>136.1</v>
      </c>
      <c r="P253" s="2">
        <v>158.6</v>
      </c>
      <c r="Q253" s="2">
        <v>153.5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</row>
    <row r="254" spans="1:31" ht="15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144.19999999999999</v>
      </c>
      <c r="F254" s="2">
        <v>167.5</v>
      </c>
      <c r="G254" s="2">
        <v>150.9</v>
      </c>
      <c r="H254" s="2">
        <v>150.9</v>
      </c>
      <c r="I254" s="2">
        <v>133.69999999999999</v>
      </c>
      <c r="J254" s="2">
        <v>140.69999999999999</v>
      </c>
      <c r="K254" s="2">
        <v>165.1</v>
      </c>
      <c r="L254" s="2">
        <v>141.80000000000001</v>
      </c>
      <c r="M254" s="2">
        <v>113.1</v>
      </c>
      <c r="N254" s="2">
        <v>152.80000000000001</v>
      </c>
      <c r="O254" s="2">
        <v>140.1</v>
      </c>
      <c r="P254" s="2">
        <v>159.19999999999999</v>
      </c>
      <c r="Q254" s="2">
        <v>149.80000000000001</v>
      </c>
      <c r="R254" s="2">
        <v>169.4</v>
      </c>
      <c r="S254" s="2">
        <v>153</v>
      </c>
      <c r="T254" s="2">
        <v>147.5</v>
      </c>
      <c r="U254" s="2">
        <v>152.30000000000001</v>
      </c>
      <c r="V254" s="2">
        <f>VLOOKUP($A254,'Impute housing Missing Value'!$A$1:$C$125,3,0)</f>
        <v>154.80000000000001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</row>
    <row r="255" spans="1:31" ht="15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146.19999999999999</v>
      </c>
      <c r="F255" s="2">
        <v>167.6</v>
      </c>
      <c r="G255" s="2">
        <v>153.1</v>
      </c>
      <c r="H255" s="2">
        <v>150.69999999999999</v>
      </c>
      <c r="I255" s="2">
        <v>127.4</v>
      </c>
      <c r="J255" s="2">
        <v>143.1</v>
      </c>
      <c r="K255" s="2">
        <v>181.7</v>
      </c>
      <c r="L255" s="2">
        <v>139.6</v>
      </c>
      <c r="M255" s="2">
        <v>114.6</v>
      </c>
      <c r="N255" s="2">
        <v>150.4</v>
      </c>
      <c r="O255" s="2">
        <v>131.5</v>
      </c>
      <c r="P255" s="2">
        <v>159</v>
      </c>
      <c r="Q255" s="2">
        <v>151.69999999999999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</row>
    <row r="256" spans="1:31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144.80000000000001</v>
      </c>
      <c r="F256" s="2">
        <v>167.5</v>
      </c>
      <c r="G256" s="2">
        <v>151.80000000000001</v>
      </c>
      <c r="H256" s="2">
        <v>150.80000000000001</v>
      </c>
      <c r="I256" s="2">
        <v>131.4</v>
      </c>
      <c r="J256" s="2">
        <v>141.80000000000001</v>
      </c>
      <c r="K256" s="2">
        <v>170.7</v>
      </c>
      <c r="L256" s="2">
        <v>141.1</v>
      </c>
      <c r="M256" s="2">
        <v>113.6</v>
      </c>
      <c r="N256" s="2">
        <v>152</v>
      </c>
      <c r="O256" s="2">
        <v>136.5</v>
      </c>
      <c r="P256" s="2">
        <v>159.1</v>
      </c>
      <c r="Q256" s="2">
        <v>150.5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</row>
    <row r="257" spans="1:32" ht="15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144.4</v>
      </c>
      <c r="F257" s="2">
        <v>166.8</v>
      </c>
      <c r="G257" s="2">
        <v>147.6</v>
      </c>
      <c r="H257" s="2">
        <v>151.69999999999999</v>
      </c>
      <c r="I257" s="2">
        <v>133.30000000000001</v>
      </c>
      <c r="J257" s="2">
        <v>141.80000000000001</v>
      </c>
      <c r="K257" s="2">
        <v>152.30000000000001</v>
      </c>
      <c r="L257" s="2">
        <v>141.80000000000001</v>
      </c>
      <c r="M257" s="2">
        <v>112.6</v>
      </c>
      <c r="N257" s="2">
        <v>154</v>
      </c>
      <c r="O257" s="2">
        <v>140.1</v>
      </c>
      <c r="P257" s="2">
        <v>160</v>
      </c>
      <c r="Q257" s="2">
        <v>148.19999999999999</v>
      </c>
      <c r="R257" s="2">
        <v>170.5</v>
      </c>
      <c r="S257" s="2">
        <v>153.4</v>
      </c>
      <c r="T257" s="2">
        <v>147.6</v>
      </c>
      <c r="U257" s="2">
        <v>152.5</v>
      </c>
      <c r="V257" s="2">
        <f>VLOOKUP($A257,'Impute housing Missing Value'!$A$1:$C$125,3,0)</f>
        <v>154.5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</row>
    <row r="258" spans="1:32" ht="15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146.5</v>
      </c>
      <c r="F258" s="2">
        <v>167.5</v>
      </c>
      <c r="G258" s="2">
        <v>148.9</v>
      </c>
      <c r="H258" s="2">
        <v>151.1</v>
      </c>
      <c r="I258" s="2">
        <v>127.5</v>
      </c>
      <c r="J258" s="2">
        <v>143.30000000000001</v>
      </c>
      <c r="K258" s="2">
        <v>167</v>
      </c>
      <c r="L258" s="2">
        <v>139.69999999999999</v>
      </c>
      <c r="M258" s="2">
        <v>114.4</v>
      </c>
      <c r="N258" s="2">
        <v>151.5</v>
      </c>
      <c r="O258" s="2">
        <v>131.9</v>
      </c>
      <c r="P258" s="2">
        <v>159.1</v>
      </c>
      <c r="Q258" s="2">
        <v>150.1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</row>
    <row r="259" spans="1:32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145.1</v>
      </c>
      <c r="F259" s="2">
        <v>167</v>
      </c>
      <c r="G259" s="2">
        <v>148.1</v>
      </c>
      <c r="H259" s="2">
        <v>151.5</v>
      </c>
      <c r="I259" s="2">
        <v>131.19999999999999</v>
      </c>
      <c r="J259" s="2">
        <v>142.5</v>
      </c>
      <c r="K259" s="2">
        <v>157.30000000000001</v>
      </c>
      <c r="L259" s="2">
        <v>141.1</v>
      </c>
      <c r="M259" s="2">
        <v>113.2</v>
      </c>
      <c r="N259" s="2">
        <v>153.19999999999999</v>
      </c>
      <c r="O259" s="2">
        <v>136.69999999999999</v>
      </c>
      <c r="P259" s="2">
        <v>159.6</v>
      </c>
      <c r="Q259" s="2">
        <v>148.9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</row>
    <row r="260" spans="1:32" ht="15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2">
        <v>147.19999999999999</v>
      </c>
      <c r="F260" s="17">
        <f>F257+(F266-F257)/3</f>
        <v>174.63333333333335</v>
      </c>
      <c r="G260" s="2">
        <v>146.9</v>
      </c>
      <c r="H260" s="2">
        <v>155.6</v>
      </c>
      <c r="I260" s="2">
        <v>137.1</v>
      </c>
      <c r="J260" s="2">
        <v>147.30000000000001</v>
      </c>
      <c r="K260" s="2">
        <v>162.69999999999999</v>
      </c>
      <c r="L260" s="2">
        <v>150.19999999999999</v>
      </c>
      <c r="M260" s="2">
        <v>119.8</v>
      </c>
      <c r="N260" s="2">
        <v>158.69999999999999</v>
      </c>
      <c r="O260" s="2">
        <v>139.19999999999999</v>
      </c>
      <c r="P260" s="1">
        <f>P266+(P266-P257)/3</f>
        <v>162.4</v>
      </c>
      <c r="Q260" s="2">
        <v>150.1</v>
      </c>
      <c r="R260" s="17">
        <f>R257+(R263-R257)/3</f>
        <v>174.48888888888888</v>
      </c>
      <c r="S260" s="17">
        <f t="shared" ref="S260:U260" si="0">S257+(S263-S257)/3</f>
        <v>151.86666666666667</v>
      </c>
      <c r="T260" s="17">
        <f t="shared" si="0"/>
        <v>149.32222222222222</v>
      </c>
      <c r="U260" s="17">
        <f t="shared" si="0"/>
        <v>147.1888888888889</v>
      </c>
      <c r="V260" s="2">
        <f>VLOOKUP($A260,'Impute housing Missing Value'!$A$1:$C$125,3,0)</f>
        <v>155.6</v>
      </c>
      <c r="W260" s="2">
        <v>148.4</v>
      </c>
      <c r="X260" s="17">
        <f>X257+(X263-X257)/3</f>
        <v>151.54444444444445</v>
      </c>
      <c r="Y260" s="2">
        <v>154.30000000000001</v>
      </c>
      <c r="Z260" s="17">
        <f>Z257+(Z263-Z257)/3</f>
        <v>137.04444444444445</v>
      </c>
      <c r="AA260" s="17">
        <f t="shared" ref="AA260:AE260" si="1">AA257+(AA263-AA257)/3</f>
        <v>151.64444444444445</v>
      </c>
      <c r="AB260" s="17">
        <f t="shared" si="1"/>
        <v>161.33333333333331</v>
      </c>
      <c r="AC260" s="17">
        <f t="shared" si="1"/>
        <v>146.45555555555555</v>
      </c>
      <c r="AD260" s="17">
        <f t="shared" si="1"/>
        <v>149.28888888888889</v>
      </c>
      <c r="AE260" s="17">
        <f t="shared" si="1"/>
        <v>150.44444444444446</v>
      </c>
    </row>
    <row r="261" spans="1:32" ht="15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2">
        <v>151.80000000000001</v>
      </c>
      <c r="F261" s="17">
        <f>F258+(F267-F258)/3</f>
        <v>177.33333333333334</v>
      </c>
      <c r="G261" s="2">
        <v>151.9</v>
      </c>
      <c r="H261" s="2">
        <v>155.5</v>
      </c>
      <c r="I261" s="2">
        <v>131.6</v>
      </c>
      <c r="J261" s="2">
        <v>152.9</v>
      </c>
      <c r="K261" s="2">
        <v>180</v>
      </c>
      <c r="L261" s="2">
        <v>150.80000000000001</v>
      </c>
      <c r="M261" s="2">
        <v>121.2</v>
      </c>
      <c r="N261" s="2">
        <v>154</v>
      </c>
      <c r="O261" s="2">
        <v>133.5</v>
      </c>
      <c r="P261" s="17">
        <f>P258+(P267-P258)/3</f>
        <v>159.96666666666667</v>
      </c>
      <c r="Q261" s="2">
        <v>153.5</v>
      </c>
      <c r="R261" s="17">
        <f>R258+(R267-R258)/3</f>
        <v>177.76666666666668</v>
      </c>
      <c r="S261" s="17">
        <f t="shared" ref="S261:U261" si="2">S258+(S267-S258)/3</f>
        <v>148.16666666666666</v>
      </c>
      <c r="T261" s="17">
        <f t="shared" si="2"/>
        <v>134.73333333333335</v>
      </c>
      <c r="U261" s="17">
        <f t="shared" si="2"/>
        <v>146.13333333333333</v>
      </c>
      <c r="V261" s="2">
        <v>155.6</v>
      </c>
      <c r="W261" s="2">
        <v>137.1</v>
      </c>
      <c r="X261" s="1">
        <f>X258+(X267-X258)</f>
        <v>140.4</v>
      </c>
      <c r="Y261" s="2">
        <v>144.80000000000001</v>
      </c>
      <c r="Z261" s="17">
        <f>Z258+(Z267-Z258)/3</f>
        <v>126.16666666666667</v>
      </c>
      <c r="AA261" s="17">
        <f t="shared" ref="AA261:AE261" si="3">AA258+(AA267-AA258)/3</f>
        <v>140.1</v>
      </c>
      <c r="AB261" s="17">
        <f t="shared" si="3"/>
        <v>152.5</v>
      </c>
      <c r="AC261" s="17">
        <f t="shared" si="3"/>
        <v>147.6</v>
      </c>
      <c r="AD261" s="17">
        <f t="shared" si="3"/>
        <v>139.79999999999998</v>
      </c>
      <c r="AE261" s="17">
        <f t="shared" si="3"/>
        <v>148.46666666666667</v>
      </c>
    </row>
    <row r="262" spans="1:32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2">
        <v>148.69999999999999</v>
      </c>
      <c r="F262" s="17">
        <f>F259+(F268-F259)/3</f>
        <v>175.56666666666666</v>
      </c>
      <c r="G262" s="2">
        <v>148.80000000000001</v>
      </c>
      <c r="H262" s="2">
        <v>155.6</v>
      </c>
      <c r="I262" s="2">
        <v>135.1</v>
      </c>
      <c r="J262" s="2">
        <v>149.9</v>
      </c>
      <c r="K262" s="2">
        <v>168.6</v>
      </c>
      <c r="L262" s="2">
        <v>150.4</v>
      </c>
      <c r="M262" s="2">
        <v>120.3</v>
      </c>
      <c r="N262" s="2">
        <v>157.1</v>
      </c>
      <c r="O262" s="2">
        <v>136.80000000000001</v>
      </c>
      <c r="P262" s="17">
        <f>P259+(P268-P259)/3</f>
        <v>160.33333333333334</v>
      </c>
      <c r="Q262" s="2">
        <v>151.4</v>
      </c>
      <c r="R262" s="17">
        <f>R259+(R268-R259)/3</f>
        <v>175.29999999999998</v>
      </c>
      <c r="S262" s="17">
        <f t="shared" ref="S262:T262" si="4">S259+(S268-S259)/3</f>
        <v>151.63333333333333</v>
      </c>
      <c r="T262" s="17">
        <f t="shared" si="4"/>
        <v>142.73333333333335</v>
      </c>
      <c r="U262" s="17">
        <f>U259+(U268-U259)/3</f>
        <v>150.33333333333334</v>
      </c>
      <c r="V262" s="2">
        <v>155.6</v>
      </c>
      <c r="W262" s="2">
        <v>144.1</v>
      </c>
      <c r="X262" s="1">
        <f>X259+(X268-X259)/3</f>
        <v>146.4</v>
      </c>
      <c r="Y262" s="2">
        <v>150.69999999999999</v>
      </c>
      <c r="Z262" s="17">
        <f>Z259+(Z268-Z259)/3</f>
        <v>131.6</v>
      </c>
      <c r="AA262" s="17">
        <f t="shared" ref="AA262:AE262" si="5">AA259+(AA268-AA259)/3</f>
        <v>145.23333333333332</v>
      </c>
      <c r="AB262" s="17">
        <f t="shared" si="5"/>
        <v>156.19999999999999</v>
      </c>
      <c r="AC262" s="17">
        <f t="shared" si="5"/>
        <v>147.33333333333331</v>
      </c>
      <c r="AD262" s="17">
        <f t="shared" si="5"/>
        <v>144.86666666666667</v>
      </c>
      <c r="AE262" s="17">
        <f t="shared" si="5"/>
        <v>149.66666666666666</v>
      </c>
    </row>
    <row r="263" spans="1:32" ht="15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">
        <f>AVERAGE(E260,E266)</f>
        <v>147.69999999999999</v>
      </c>
      <c r="F263" s="17">
        <f>F257+2*(F266-F257)/3</f>
        <v>182.46666666666667</v>
      </c>
      <c r="G263" s="17">
        <f t="shared" ref="G263:Q263" si="6">AVERAGE(G260,G266)</f>
        <v>148.15</v>
      </c>
      <c r="H263" s="17">
        <f t="shared" si="6"/>
        <v>154.44999999999999</v>
      </c>
      <c r="I263" s="17">
        <f t="shared" si="6"/>
        <v>137.64999999999998</v>
      </c>
      <c r="J263" s="17">
        <f t="shared" si="6"/>
        <v>145.25</v>
      </c>
      <c r="K263" s="17">
        <f t="shared" si="6"/>
        <v>155.80000000000001</v>
      </c>
      <c r="L263" s="17">
        <f t="shared" si="6"/>
        <v>150.25</v>
      </c>
      <c r="M263" s="1">
        <f t="shared" si="6"/>
        <v>116.5</v>
      </c>
      <c r="N263" s="17">
        <f t="shared" si="6"/>
        <v>159.25</v>
      </c>
      <c r="O263" s="17">
        <f t="shared" si="6"/>
        <v>140.64999999999998</v>
      </c>
      <c r="P263" s="17">
        <f>P257+2*(P266-P257)/3</f>
        <v>161.20000000000002</v>
      </c>
      <c r="Q263" s="1">
        <f t="shared" si="6"/>
        <v>151.19999999999999</v>
      </c>
      <c r="R263" s="17">
        <f>F257+2*(F266-F257)/3</f>
        <v>182.46666666666667</v>
      </c>
      <c r="S263" s="17">
        <f t="shared" ref="S263:V263" si="7">G257+2*(G266-G257)/3</f>
        <v>148.80000000000001</v>
      </c>
      <c r="T263" s="17">
        <f t="shared" si="7"/>
        <v>152.76666666666668</v>
      </c>
      <c r="U263" s="17">
        <f t="shared" si="7"/>
        <v>136.56666666666666</v>
      </c>
      <c r="V263" s="17">
        <f t="shared" si="7"/>
        <v>142.73333333333332</v>
      </c>
      <c r="W263" s="17">
        <f>AVERAGE(W260,W266)</f>
        <v>146.65</v>
      </c>
      <c r="X263" s="17">
        <f>X257+2*(X266-X257)/3</f>
        <v>151.63333333333333</v>
      </c>
      <c r="Y263" s="17">
        <f t="shared" ref="Y263" si="8">AVERAGE(Y260,Y266)</f>
        <v>156.25</v>
      </c>
      <c r="Z263" s="17">
        <f>Z257+2*(Z266-Z257)/3</f>
        <v>139.53333333333333</v>
      </c>
      <c r="AA263" s="17">
        <f t="shared" ref="AA263:AE263" si="9">AA257+2*(AA266-AA257)/3</f>
        <v>152.53333333333333</v>
      </c>
      <c r="AB263" s="17">
        <f t="shared" si="9"/>
        <v>161.6</v>
      </c>
      <c r="AC263" s="17">
        <f t="shared" si="9"/>
        <v>149.16666666666666</v>
      </c>
      <c r="AD263" s="17">
        <f t="shared" si="9"/>
        <v>150.66666666666666</v>
      </c>
      <c r="AE263" s="17">
        <f t="shared" si="9"/>
        <v>151.73333333333332</v>
      </c>
    </row>
    <row r="264" spans="1:32" ht="15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9">
        <f>AVERAGE(E261,E267)</f>
        <v>152.25</v>
      </c>
      <c r="F264" s="17">
        <f>F258+2*(F267-F258)/3</f>
        <v>187.16666666666666</v>
      </c>
      <c r="G264" s="19">
        <f t="shared" ref="G264:Y264" si="10">AVERAGE(G261,G267)</f>
        <v>153.25</v>
      </c>
      <c r="H264" s="19">
        <f t="shared" si="10"/>
        <v>154.44999999999999</v>
      </c>
      <c r="I264" s="19">
        <f t="shared" si="10"/>
        <v>132.25</v>
      </c>
      <c r="J264" s="19">
        <f t="shared" si="10"/>
        <v>152.35000000000002</v>
      </c>
      <c r="K264" s="19">
        <f t="shared" si="10"/>
        <v>175.6</v>
      </c>
      <c r="L264" s="19">
        <f t="shared" si="10"/>
        <v>151.4</v>
      </c>
      <c r="M264" s="19">
        <f t="shared" si="10"/>
        <v>118.75</v>
      </c>
      <c r="N264" s="19">
        <f t="shared" si="10"/>
        <v>156.4</v>
      </c>
      <c r="O264" s="19">
        <f t="shared" si="10"/>
        <v>134.55000000000001</v>
      </c>
      <c r="P264" s="17">
        <f>P258+2*(P267-P258)/3</f>
        <v>160.83333333333331</v>
      </c>
      <c r="Q264" s="19">
        <f t="shared" si="10"/>
        <v>155.25</v>
      </c>
      <c r="R264" s="17">
        <f>R258+2*(R267-R258)/3</f>
        <v>182.23333333333332</v>
      </c>
      <c r="S264" s="17">
        <f t="shared" ref="S264:U264" si="11">S258+2*(S267-S258)/3</f>
        <v>148.63333333333333</v>
      </c>
      <c r="T264" s="17">
        <f t="shared" si="11"/>
        <v>135.66666666666666</v>
      </c>
      <c r="U264" s="17">
        <f t="shared" si="11"/>
        <v>146.66666666666666</v>
      </c>
      <c r="V264" s="19">
        <f t="shared" si="10"/>
        <v>155.14999999999998</v>
      </c>
      <c r="W264" s="19">
        <f t="shared" si="10"/>
        <v>137.1</v>
      </c>
      <c r="X264" s="17">
        <f>X258+2*(X267-X258)/3</f>
        <v>140.53333333333333</v>
      </c>
      <c r="Y264" s="19">
        <f t="shared" si="10"/>
        <v>146.44999999999999</v>
      </c>
      <c r="Z264" s="17">
        <f>Z258+2*(Z267-Z258)/3</f>
        <v>127.73333333333333</v>
      </c>
      <c r="AA264" s="17">
        <f t="shared" ref="AA264:AE264" si="12">AA258+2*(AA267-AA258)/3</f>
        <v>142.30000000000001</v>
      </c>
      <c r="AB264" s="17">
        <f t="shared" si="12"/>
        <v>152.5</v>
      </c>
      <c r="AC264" s="17">
        <f t="shared" si="12"/>
        <v>149.9</v>
      </c>
      <c r="AD264" s="17">
        <f t="shared" si="12"/>
        <v>140.9</v>
      </c>
      <c r="AE264" s="17">
        <f t="shared" si="12"/>
        <v>149.63333333333335</v>
      </c>
      <c r="AF264" s="20"/>
    </row>
    <row r="265" spans="1:32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9">
        <f>AVERAGE(E262,E268)</f>
        <v>149.14999999999998</v>
      </c>
      <c r="F265" s="17">
        <f>F259+2*(F268-F259)/3</f>
        <v>184.13333333333333</v>
      </c>
      <c r="G265" s="9">
        <f t="shared" ref="G265:Y265" si="13">AVERAGE(G262,G268)</f>
        <v>150.10000000000002</v>
      </c>
      <c r="H265" s="9">
        <f t="shared" si="13"/>
        <v>154.44999999999999</v>
      </c>
      <c r="I265" s="9">
        <f t="shared" si="13"/>
        <v>135.69999999999999</v>
      </c>
      <c r="J265" s="9">
        <f t="shared" si="13"/>
        <v>148.55000000000001</v>
      </c>
      <c r="K265" s="9">
        <f t="shared" si="13"/>
        <v>162.55000000000001</v>
      </c>
      <c r="L265" s="9">
        <f t="shared" si="13"/>
        <v>150.65</v>
      </c>
      <c r="M265" s="9">
        <f t="shared" si="13"/>
        <v>117.25</v>
      </c>
      <c r="N265" s="9">
        <f t="shared" si="13"/>
        <v>158.30000000000001</v>
      </c>
      <c r="O265" s="9">
        <f t="shared" si="13"/>
        <v>138.10000000000002</v>
      </c>
      <c r="P265" s="17">
        <f>P259+2*(P268-P259)/3</f>
        <v>161.06666666666666</v>
      </c>
      <c r="Q265" s="9">
        <f t="shared" si="13"/>
        <v>152.69999999999999</v>
      </c>
      <c r="R265" s="17">
        <f>R259+2*(R268-R259)/3</f>
        <v>179.4</v>
      </c>
      <c r="S265" s="17">
        <f t="shared" ref="S265:V265" si="14">S259+2*(S268-S259)/3</f>
        <v>152.06666666666666</v>
      </c>
      <c r="T265" s="17">
        <f t="shared" si="14"/>
        <v>143.56666666666666</v>
      </c>
      <c r="U265" s="17">
        <f t="shared" si="14"/>
        <v>150.86666666666667</v>
      </c>
      <c r="V265" s="17">
        <f t="shared" si="14"/>
        <v>154.63333333333333</v>
      </c>
      <c r="W265" s="9">
        <f t="shared" si="13"/>
        <v>143</v>
      </c>
      <c r="X265" s="1">
        <v>146.4</v>
      </c>
      <c r="Y265" s="9">
        <f t="shared" si="13"/>
        <v>152.55000000000001</v>
      </c>
      <c r="Z265" s="1">
        <f>Z259+2*(Z268-Z259)/3</f>
        <v>133.30000000000001</v>
      </c>
      <c r="AA265" s="16">
        <f t="shared" ref="AA265:AD265" si="15">AA259+2*(AA268-AA259)/3</f>
        <v>146.76666666666668</v>
      </c>
      <c r="AB265" s="16">
        <f t="shared" si="15"/>
        <v>156.30000000000001</v>
      </c>
      <c r="AC265" s="16">
        <f t="shared" si="15"/>
        <v>149.46666666666667</v>
      </c>
      <c r="AD265" s="16">
        <f t="shared" si="15"/>
        <v>145.93333333333334</v>
      </c>
      <c r="AE265" s="16">
        <f>AE259+2*(AE268-AE259)/3</f>
        <v>150.73333333333335</v>
      </c>
    </row>
    <row r="266" spans="1:32" ht="15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148.19999999999999</v>
      </c>
      <c r="F266" s="2">
        <v>190.3</v>
      </c>
      <c r="G266" s="2">
        <v>149.4</v>
      </c>
      <c r="H266" s="2">
        <v>153.30000000000001</v>
      </c>
      <c r="I266" s="2">
        <v>138.19999999999999</v>
      </c>
      <c r="J266" s="2">
        <v>143.19999999999999</v>
      </c>
      <c r="K266" s="2">
        <v>148.9</v>
      </c>
      <c r="L266" s="2">
        <v>150.30000000000001</v>
      </c>
      <c r="M266" s="2">
        <v>113.2</v>
      </c>
      <c r="N266" s="2">
        <v>159.80000000000001</v>
      </c>
      <c r="O266" s="2">
        <v>142.1</v>
      </c>
      <c r="P266" s="2">
        <v>161.80000000000001</v>
      </c>
      <c r="Q266" s="2">
        <v>152.30000000000001</v>
      </c>
      <c r="R266" s="2">
        <v>182.4</v>
      </c>
      <c r="S266" s="2">
        <v>154.69999999999999</v>
      </c>
      <c r="T266" s="2">
        <v>150</v>
      </c>
      <c r="U266" s="2">
        <v>154.1</v>
      </c>
      <c r="V266" s="2">
        <f>VLOOKUP($A266,'Impute housing Missing Value'!$A$1:$C$125,3,0)</f>
        <v>154.69999999999999</v>
      </c>
      <c r="W266" s="2">
        <v>144.9</v>
      </c>
      <c r="X266" s="18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</row>
    <row r="267" spans="1:32" ht="15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152.69999999999999</v>
      </c>
      <c r="F267" s="2">
        <v>197</v>
      </c>
      <c r="G267" s="2">
        <v>154.6</v>
      </c>
      <c r="H267" s="2">
        <v>153.4</v>
      </c>
      <c r="I267" s="2">
        <v>132.9</v>
      </c>
      <c r="J267" s="2">
        <v>151.80000000000001</v>
      </c>
      <c r="K267" s="2">
        <v>171.2</v>
      </c>
      <c r="L267" s="2">
        <v>152</v>
      </c>
      <c r="M267" s="2">
        <v>116.3</v>
      </c>
      <c r="N267" s="2">
        <v>158.80000000000001</v>
      </c>
      <c r="O267" s="2">
        <v>135.6</v>
      </c>
      <c r="P267" s="2">
        <v>161.69999999999999</v>
      </c>
      <c r="Q267" s="2">
        <v>157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</row>
    <row r="268" spans="1:32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149.6</v>
      </c>
      <c r="F268" s="2">
        <v>192.7</v>
      </c>
      <c r="G268" s="2">
        <v>151.4</v>
      </c>
      <c r="H268" s="2">
        <v>153.30000000000001</v>
      </c>
      <c r="I268" s="2">
        <v>136.30000000000001</v>
      </c>
      <c r="J268" s="2">
        <v>147.19999999999999</v>
      </c>
      <c r="K268" s="2">
        <v>156.5</v>
      </c>
      <c r="L268" s="2">
        <v>150.9</v>
      </c>
      <c r="M268" s="2">
        <v>114.2</v>
      </c>
      <c r="N268" s="2">
        <v>159.5</v>
      </c>
      <c r="O268" s="2">
        <v>139.4</v>
      </c>
      <c r="P268" s="2">
        <v>161.80000000000001</v>
      </c>
      <c r="Q268" s="2">
        <v>154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</row>
    <row r="269" spans="1:32" ht="15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148.19999999999999</v>
      </c>
      <c r="F269" s="2">
        <v>190.3</v>
      </c>
      <c r="G269" s="2">
        <v>149.4</v>
      </c>
      <c r="H269" s="2">
        <v>153.30000000000001</v>
      </c>
      <c r="I269" s="2">
        <v>138.19999999999999</v>
      </c>
      <c r="J269" s="2">
        <v>143.19999999999999</v>
      </c>
      <c r="K269" s="2">
        <v>148.9</v>
      </c>
      <c r="L269" s="2">
        <v>150.30000000000001</v>
      </c>
      <c r="M269" s="2">
        <v>113.2</v>
      </c>
      <c r="N269" s="2">
        <v>159.80000000000001</v>
      </c>
      <c r="O269" s="2">
        <v>142.1</v>
      </c>
      <c r="P269" s="2">
        <v>161.80000000000001</v>
      </c>
      <c r="Q269" s="2">
        <v>152.30000000000001</v>
      </c>
      <c r="R269" s="2">
        <v>182.4</v>
      </c>
      <c r="S269" s="2">
        <v>154.69999999999999</v>
      </c>
      <c r="T269" s="2">
        <v>150</v>
      </c>
      <c r="U269" s="2">
        <v>154.1</v>
      </c>
      <c r="V269" s="2">
        <f>VLOOKUP($A269,'Impute housing Missing Value'!$A$1:$C$125,3,0)</f>
        <v>154.69999999999999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</row>
    <row r="270" spans="1:32" ht="15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152.69999999999999</v>
      </c>
      <c r="F270" s="2">
        <v>197</v>
      </c>
      <c r="G270" s="2">
        <v>154.6</v>
      </c>
      <c r="H270" s="2">
        <v>153.4</v>
      </c>
      <c r="I270" s="2">
        <v>132.9</v>
      </c>
      <c r="J270" s="2">
        <v>151.80000000000001</v>
      </c>
      <c r="K270" s="2">
        <v>171.2</v>
      </c>
      <c r="L270" s="2">
        <v>152</v>
      </c>
      <c r="M270" s="2">
        <v>116.3</v>
      </c>
      <c r="N270" s="2">
        <v>158.80000000000001</v>
      </c>
      <c r="O270" s="2">
        <v>135.6</v>
      </c>
      <c r="P270" s="2">
        <v>161.69999999999999</v>
      </c>
      <c r="Q270" s="2">
        <v>157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</row>
    <row r="271" spans="1:32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149.6</v>
      </c>
      <c r="F271" s="2">
        <v>192.7</v>
      </c>
      <c r="G271" s="2">
        <v>151.4</v>
      </c>
      <c r="H271" s="2">
        <v>153.30000000000001</v>
      </c>
      <c r="I271" s="2">
        <v>136.30000000000001</v>
      </c>
      <c r="J271" s="2">
        <v>147.19999999999999</v>
      </c>
      <c r="K271" s="2">
        <v>156.5</v>
      </c>
      <c r="L271" s="2">
        <v>150.9</v>
      </c>
      <c r="M271" s="2">
        <v>114.2</v>
      </c>
      <c r="N271" s="2">
        <v>159.5</v>
      </c>
      <c r="O271" s="2">
        <v>139.4</v>
      </c>
      <c r="P271" s="2">
        <v>161.80000000000001</v>
      </c>
      <c r="Q271" s="2">
        <v>154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</row>
    <row r="272" spans="1:32" ht="15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147.6</v>
      </c>
      <c r="F272" s="2">
        <v>187.2</v>
      </c>
      <c r="G272" s="2">
        <v>148.4</v>
      </c>
      <c r="H272" s="2">
        <v>153.30000000000001</v>
      </c>
      <c r="I272" s="2">
        <v>139.80000000000001</v>
      </c>
      <c r="J272" s="2">
        <v>146.9</v>
      </c>
      <c r="K272" s="2">
        <v>171</v>
      </c>
      <c r="L272" s="2">
        <v>149.9</v>
      </c>
      <c r="M272" s="2">
        <v>114.2</v>
      </c>
      <c r="N272" s="2">
        <v>160</v>
      </c>
      <c r="O272" s="2">
        <v>143.5</v>
      </c>
      <c r="P272" s="2">
        <v>161.5</v>
      </c>
      <c r="Q272" s="2">
        <v>155.30000000000001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>
        <f>VLOOKUP($A272,'Impute housing Missing Value'!$A$1:$C$125,3,0)</f>
        <v>155.5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</row>
    <row r="273" spans="1:31" ht="15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151.6</v>
      </c>
      <c r="F273" s="2">
        <v>197.8</v>
      </c>
      <c r="G273" s="2">
        <v>154.5</v>
      </c>
      <c r="H273" s="2">
        <v>153.4</v>
      </c>
      <c r="I273" s="2">
        <v>133.4</v>
      </c>
      <c r="J273" s="2">
        <v>154.5</v>
      </c>
      <c r="K273" s="2">
        <v>191.9</v>
      </c>
      <c r="L273" s="2">
        <v>151.30000000000001</v>
      </c>
      <c r="M273" s="2">
        <v>116.8</v>
      </c>
      <c r="N273" s="2">
        <v>160</v>
      </c>
      <c r="O273" s="2">
        <v>136.5</v>
      </c>
      <c r="P273" s="2">
        <v>163.30000000000001</v>
      </c>
      <c r="Q273" s="2">
        <v>159.9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</row>
    <row r="274" spans="1:31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148.9</v>
      </c>
      <c r="F274" s="2">
        <v>190.9</v>
      </c>
      <c r="G274" s="2">
        <v>150.80000000000001</v>
      </c>
      <c r="H274" s="2">
        <v>153.30000000000001</v>
      </c>
      <c r="I274" s="2">
        <v>137.4</v>
      </c>
      <c r="J274" s="2">
        <v>150.4</v>
      </c>
      <c r="K274" s="2">
        <v>178.1</v>
      </c>
      <c r="L274" s="2">
        <v>150.4</v>
      </c>
      <c r="M274" s="2">
        <v>115.1</v>
      </c>
      <c r="N274" s="2">
        <v>160</v>
      </c>
      <c r="O274" s="2">
        <v>140.6</v>
      </c>
      <c r="P274" s="2">
        <v>162.30000000000001</v>
      </c>
      <c r="Q274" s="2">
        <v>157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</row>
    <row r="275" spans="1:31" ht="26.5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146.9</v>
      </c>
      <c r="F275" s="2">
        <v>183.9</v>
      </c>
      <c r="G275" s="2">
        <v>149.5</v>
      </c>
      <c r="H275" s="2">
        <v>153.4</v>
      </c>
      <c r="I275" s="2">
        <v>140.4</v>
      </c>
      <c r="J275" s="2">
        <v>147</v>
      </c>
      <c r="K275" s="2">
        <v>178.8</v>
      </c>
      <c r="L275" s="2">
        <v>149.30000000000001</v>
      </c>
      <c r="M275" s="2">
        <v>115.1</v>
      </c>
      <c r="N275" s="2">
        <v>160</v>
      </c>
      <c r="O275" s="2">
        <v>145.4</v>
      </c>
      <c r="P275" s="2">
        <v>161.6</v>
      </c>
      <c r="Q275" s="2">
        <v>156.1</v>
      </c>
      <c r="R275" s="2">
        <v>182.9</v>
      </c>
      <c r="S275" s="2">
        <v>155.4</v>
      </c>
      <c r="T275" s="2">
        <v>149.9</v>
      </c>
      <c r="U275" s="2">
        <v>154.6</v>
      </c>
      <c r="V275" s="2">
        <f>VLOOKUP($A275,'Impute housing Missing Value'!$A$1:$C$125,3,0)</f>
        <v>156.30000000000001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</row>
    <row r="276" spans="1:31" ht="26.5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151.5</v>
      </c>
      <c r="F276" s="2">
        <v>193.1</v>
      </c>
      <c r="G276" s="2">
        <v>157.30000000000001</v>
      </c>
      <c r="H276" s="2">
        <v>153.9</v>
      </c>
      <c r="I276" s="2">
        <v>134.4</v>
      </c>
      <c r="J276" s="2">
        <v>155.4</v>
      </c>
      <c r="K276" s="2">
        <v>202</v>
      </c>
      <c r="L276" s="2">
        <v>150.80000000000001</v>
      </c>
      <c r="M276" s="2">
        <v>118.9</v>
      </c>
      <c r="N276" s="2">
        <v>160.9</v>
      </c>
      <c r="O276" s="2">
        <v>137.69999999999999</v>
      </c>
      <c r="P276" s="2">
        <v>164.4</v>
      </c>
      <c r="Q276" s="2">
        <v>161.30000000000001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</row>
    <row r="277" spans="1:31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148.4</v>
      </c>
      <c r="F277" s="2">
        <v>187.1</v>
      </c>
      <c r="G277" s="2">
        <v>152.5</v>
      </c>
      <c r="H277" s="2">
        <v>153.6</v>
      </c>
      <c r="I277" s="2">
        <v>138.19999999999999</v>
      </c>
      <c r="J277" s="2">
        <v>150.9</v>
      </c>
      <c r="K277" s="2">
        <v>186.7</v>
      </c>
      <c r="L277" s="2">
        <v>149.80000000000001</v>
      </c>
      <c r="M277" s="2">
        <v>116.4</v>
      </c>
      <c r="N277" s="2">
        <v>160.30000000000001</v>
      </c>
      <c r="O277" s="2">
        <v>142.19999999999999</v>
      </c>
      <c r="P277" s="2">
        <v>162.9</v>
      </c>
      <c r="Q277" s="2">
        <v>158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</row>
    <row r="278" spans="1:31" ht="15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146</v>
      </c>
      <c r="F278" s="2">
        <v>186.3</v>
      </c>
      <c r="G278" s="2">
        <v>159.19999999999999</v>
      </c>
      <c r="H278" s="2">
        <v>153.6</v>
      </c>
      <c r="I278" s="2">
        <v>142.6</v>
      </c>
      <c r="J278" s="2">
        <v>147.19999999999999</v>
      </c>
      <c r="K278" s="2">
        <v>200.6</v>
      </c>
      <c r="L278" s="2">
        <v>150.30000000000001</v>
      </c>
      <c r="M278" s="2">
        <v>115.3</v>
      </c>
      <c r="N278" s="2">
        <v>160.9</v>
      </c>
      <c r="O278" s="2">
        <v>147.4</v>
      </c>
      <c r="P278" s="2">
        <v>161.9</v>
      </c>
      <c r="Q278" s="2">
        <v>159.6</v>
      </c>
      <c r="R278" s="2">
        <v>182.7</v>
      </c>
      <c r="S278" s="2">
        <v>155.69999999999999</v>
      </c>
      <c r="T278" s="2">
        <v>150.6</v>
      </c>
      <c r="U278" s="2">
        <v>155</v>
      </c>
      <c r="V278" s="2">
        <f>VLOOKUP($A278,'Impute housing Missing Value'!$A$1:$C$125,3,0)</f>
        <v>156.5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</row>
    <row r="279" spans="1:31" ht="15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150.6</v>
      </c>
      <c r="F279" s="2">
        <v>193.7</v>
      </c>
      <c r="G279" s="2">
        <v>164.8</v>
      </c>
      <c r="H279" s="2">
        <v>153.69999999999999</v>
      </c>
      <c r="I279" s="2">
        <v>135.69999999999999</v>
      </c>
      <c r="J279" s="2">
        <v>155.69999999999999</v>
      </c>
      <c r="K279" s="2">
        <v>226</v>
      </c>
      <c r="L279" s="2">
        <v>152.19999999999999</v>
      </c>
      <c r="M279" s="2">
        <v>118.1</v>
      </c>
      <c r="N279" s="2">
        <v>161.30000000000001</v>
      </c>
      <c r="O279" s="2">
        <v>139.19999999999999</v>
      </c>
      <c r="P279" s="2">
        <v>164.8</v>
      </c>
      <c r="Q279" s="2">
        <v>164.4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</row>
    <row r="280" spans="1:31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147.5</v>
      </c>
      <c r="F280" s="2">
        <v>188.9</v>
      </c>
      <c r="G280" s="2">
        <v>161.4</v>
      </c>
      <c r="H280" s="2">
        <v>153.6</v>
      </c>
      <c r="I280" s="2">
        <v>140.1</v>
      </c>
      <c r="J280" s="2">
        <v>151.19999999999999</v>
      </c>
      <c r="K280" s="2">
        <v>209.2</v>
      </c>
      <c r="L280" s="2">
        <v>150.9</v>
      </c>
      <c r="M280" s="2">
        <v>116.2</v>
      </c>
      <c r="N280" s="2">
        <v>161</v>
      </c>
      <c r="O280" s="2">
        <v>144</v>
      </c>
      <c r="P280" s="2">
        <v>163.19999999999999</v>
      </c>
      <c r="Q280" s="2">
        <v>161.4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</row>
    <row r="281" spans="1:31" ht="26.5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145.4</v>
      </c>
      <c r="F281" s="2">
        <v>188.6</v>
      </c>
      <c r="G281" s="2">
        <v>171.6</v>
      </c>
      <c r="H281" s="2">
        <v>153.80000000000001</v>
      </c>
      <c r="I281" s="2">
        <v>145.4</v>
      </c>
      <c r="J281" s="2">
        <v>146.5</v>
      </c>
      <c r="K281" s="2">
        <v>222.2</v>
      </c>
      <c r="L281" s="2">
        <v>155.9</v>
      </c>
      <c r="M281" s="2">
        <v>114.9</v>
      </c>
      <c r="N281" s="2">
        <v>162</v>
      </c>
      <c r="O281" s="2">
        <v>150</v>
      </c>
      <c r="P281" s="2">
        <v>162.69999999999999</v>
      </c>
      <c r="Q281" s="2">
        <v>163.4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>
        <f>VLOOKUP($A281,'Impute housing Missing Value'!$A$1:$C$125,3,0)</f>
        <v>158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</row>
    <row r="282" spans="1:31" ht="26.5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149.69999999999999</v>
      </c>
      <c r="F282" s="2">
        <v>195.5</v>
      </c>
      <c r="G282" s="2">
        <v>176.9</v>
      </c>
      <c r="H282" s="2">
        <v>153.9</v>
      </c>
      <c r="I282" s="2">
        <v>138</v>
      </c>
      <c r="J282" s="2">
        <v>150.5</v>
      </c>
      <c r="K282" s="2">
        <v>245.3</v>
      </c>
      <c r="L282" s="2">
        <v>158.69999999999999</v>
      </c>
      <c r="M282" s="2">
        <v>117.2</v>
      </c>
      <c r="N282" s="2">
        <v>161.4</v>
      </c>
      <c r="O282" s="2">
        <v>141.5</v>
      </c>
      <c r="P282" s="2">
        <v>165.1</v>
      </c>
      <c r="Q282" s="2">
        <v>167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</row>
    <row r="283" spans="1:31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146.80000000000001</v>
      </c>
      <c r="F283" s="2">
        <v>191</v>
      </c>
      <c r="G283" s="2">
        <v>173.6</v>
      </c>
      <c r="H283" s="2">
        <v>153.80000000000001</v>
      </c>
      <c r="I283" s="2">
        <v>142.69999999999999</v>
      </c>
      <c r="J283" s="2">
        <v>148.4</v>
      </c>
      <c r="K283" s="2">
        <v>230</v>
      </c>
      <c r="L283" s="2">
        <v>156.80000000000001</v>
      </c>
      <c r="M283" s="2">
        <v>115.7</v>
      </c>
      <c r="N283" s="2">
        <v>161.80000000000001</v>
      </c>
      <c r="O283" s="2">
        <v>146.5</v>
      </c>
      <c r="P283" s="2">
        <v>163.80000000000001</v>
      </c>
      <c r="Q283" s="2">
        <v>164.7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</row>
    <row r="284" spans="1:31" ht="26.5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144.6</v>
      </c>
      <c r="F284" s="2">
        <v>188.5</v>
      </c>
      <c r="G284" s="2">
        <v>173.4</v>
      </c>
      <c r="H284" s="2">
        <v>154</v>
      </c>
      <c r="I284" s="2">
        <v>150</v>
      </c>
      <c r="J284" s="2">
        <v>145.9</v>
      </c>
      <c r="K284" s="2">
        <v>225.2</v>
      </c>
      <c r="L284" s="2">
        <v>159.5</v>
      </c>
      <c r="M284" s="2">
        <v>114.4</v>
      </c>
      <c r="N284" s="2">
        <v>163.5</v>
      </c>
      <c r="O284" s="2">
        <v>153.4</v>
      </c>
      <c r="P284" s="2">
        <v>163.6</v>
      </c>
      <c r="Q284" s="2">
        <v>164.5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>
        <f>VLOOKUP($A284,'Impute housing Missing Value'!$A$1:$C$125,3,0)</f>
        <v>158.4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</row>
    <row r="285" spans="1:31" ht="26.5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149</v>
      </c>
      <c r="F285" s="2">
        <v>195.7</v>
      </c>
      <c r="G285" s="2">
        <v>178.3</v>
      </c>
      <c r="H285" s="2">
        <v>154.19999999999999</v>
      </c>
      <c r="I285" s="2">
        <v>140.69999999999999</v>
      </c>
      <c r="J285" s="2">
        <v>149.69999999999999</v>
      </c>
      <c r="K285" s="2">
        <v>240.9</v>
      </c>
      <c r="L285" s="2">
        <v>161.5</v>
      </c>
      <c r="M285" s="2">
        <v>117.1</v>
      </c>
      <c r="N285" s="2">
        <v>161.9</v>
      </c>
      <c r="O285" s="2">
        <v>143.30000000000001</v>
      </c>
      <c r="P285" s="2">
        <v>166.1</v>
      </c>
      <c r="Q285" s="2">
        <v>167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</row>
    <row r="286" spans="1:31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146</v>
      </c>
      <c r="F286" s="2">
        <v>191</v>
      </c>
      <c r="G286" s="2">
        <v>175.3</v>
      </c>
      <c r="H286" s="2">
        <v>154.1</v>
      </c>
      <c r="I286" s="2">
        <v>146.6</v>
      </c>
      <c r="J286" s="2">
        <v>147.69999999999999</v>
      </c>
      <c r="K286" s="2">
        <v>230.5</v>
      </c>
      <c r="L286" s="2">
        <v>160.19999999999999</v>
      </c>
      <c r="M286" s="2">
        <v>115.3</v>
      </c>
      <c r="N286" s="2">
        <v>163</v>
      </c>
      <c r="O286" s="2">
        <v>149.19999999999999</v>
      </c>
      <c r="P286" s="2">
        <v>164.8</v>
      </c>
      <c r="Q286" s="2">
        <v>165.4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</row>
    <row r="287" spans="1:31" ht="15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143.4</v>
      </c>
      <c r="F287" s="2">
        <v>187.5</v>
      </c>
      <c r="G287" s="2">
        <v>173.4</v>
      </c>
      <c r="H287" s="2">
        <v>154</v>
      </c>
      <c r="I287" s="2">
        <v>154.80000000000001</v>
      </c>
      <c r="J287" s="2">
        <v>147</v>
      </c>
      <c r="K287" s="2">
        <v>187.8</v>
      </c>
      <c r="L287" s="2">
        <v>159.5</v>
      </c>
      <c r="M287" s="2">
        <v>113.8</v>
      </c>
      <c r="N287" s="2">
        <v>164.5</v>
      </c>
      <c r="O287" s="2">
        <v>156.1</v>
      </c>
      <c r="P287" s="2">
        <v>164.3</v>
      </c>
      <c r="Q287" s="2">
        <v>159.6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>
        <f>VLOOKUP($A287,'Impute housing Missing Value'!$A$1:$C$125,3,0)</f>
        <v>157.69999999999999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</row>
    <row r="288" spans="1:31" ht="15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148</v>
      </c>
      <c r="F288" s="2">
        <v>194.8</v>
      </c>
      <c r="G288" s="2">
        <v>178.4</v>
      </c>
      <c r="H288" s="2">
        <v>154.4</v>
      </c>
      <c r="I288" s="2">
        <v>144.1</v>
      </c>
      <c r="J288" s="2">
        <v>152.6</v>
      </c>
      <c r="K288" s="2">
        <v>206.8</v>
      </c>
      <c r="L288" s="2">
        <v>162.1</v>
      </c>
      <c r="M288" s="2">
        <v>116.3</v>
      </c>
      <c r="N288" s="2">
        <v>163</v>
      </c>
      <c r="O288" s="2">
        <v>145.9</v>
      </c>
      <c r="P288" s="2">
        <v>167.2</v>
      </c>
      <c r="Q288" s="2">
        <v>163.4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</row>
    <row r="289" spans="1:31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144.9</v>
      </c>
      <c r="F289" s="2">
        <v>190.1</v>
      </c>
      <c r="G289" s="2">
        <v>175.3</v>
      </c>
      <c r="H289" s="2">
        <v>154.1</v>
      </c>
      <c r="I289" s="2">
        <v>150.9</v>
      </c>
      <c r="J289" s="2">
        <v>149.6</v>
      </c>
      <c r="K289" s="2">
        <v>194.2</v>
      </c>
      <c r="L289" s="2">
        <v>160.4</v>
      </c>
      <c r="M289" s="2">
        <v>114.6</v>
      </c>
      <c r="N289" s="2">
        <v>164</v>
      </c>
      <c r="O289" s="2">
        <v>151.80000000000001</v>
      </c>
      <c r="P289" s="2">
        <v>165.6</v>
      </c>
      <c r="Q289" s="2">
        <v>161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</row>
    <row r="290" spans="1:31" ht="15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142.80000000000001</v>
      </c>
      <c r="F290" s="2">
        <v>184</v>
      </c>
      <c r="G290" s="2">
        <v>168</v>
      </c>
      <c r="H290" s="2">
        <v>154.4</v>
      </c>
      <c r="I290" s="2">
        <v>163</v>
      </c>
      <c r="J290" s="2">
        <v>147.80000000000001</v>
      </c>
      <c r="K290" s="2">
        <v>149.69999999999999</v>
      </c>
      <c r="L290" s="2">
        <v>158.30000000000001</v>
      </c>
      <c r="M290" s="2">
        <v>111.8</v>
      </c>
      <c r="N290" s="2">
        <v>165</v>
      </c>
      <c r="O290" s="2">
        <v>160</v>
      </c>
      <c r="P290" s="2">
        <v>165.8</v>
      </c>
      <c r="Q290" s="2">
        <v>154.69999999999999</v>
      </c>
      <c r="R290" s="2">
        <v>186.5</v>
      </c>
      <c r="S290" s="2">
        <v>159.1</v>
      </c>
      <c r="T290" s="2">
        <v>153.9</v>
      </c>
      <c r="U290" s="2">
        <v>158.4</v>
      </c>
      <c r="V290" s="2">
        <f>VLOOKUP($A290,'Impute housing Missing Value'!$A$1:$C$125,3,0)</f>
        <v>159.80000000000001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</row>
    <row r="291" spans="1:31" ht="15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147.6</v>
      </c>
      <c r="F291" s="2">
        <v>191.2</v>
      </c>
      <c r="G291" s="2">
        <v>169.9</v>
      </c>
      <c r="H291" s="2">
        <v>155.1</v>
      </c>
      <c r="I291" s="2">
        <v>151.4</v>
      </c>
      <c r="J291" s="2">
        <v>154</v>
      </c>
      <c r="K291" s="2">
        <v>180.2</v>
      </c>
      <c r="L291" s="2">
        <v>159.80000000000001</v>
      </c>
      <c r="M291" s="2">
        <v>114.9</v>
      </c>
      <c r="N291" s="2">
        <v>162.5</v>
      </c>
      <c r="O291" s="2">
        <v>149.19999999999999</v>
      </c>
      <c r="P291" s="2">
        <v>169.4</v>
      </c>
      <c r="Q291" s="2">
        <v>160.80000000000001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</row>
    <row r="292" spans="1:31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144.30000000000001</v>
      </c>
      <c r="F292" s="2">
        <v>186.5</v>
      </c>
      <c r="G292" s="2">
        <v>168.7</v>
      </c>
      <c r="H292" s="2">
        <v>154.69999999999999</v>
      </c>
      <c r="I292" s="2">
        <v>158.69999999999999</v>
      </c>
      <c r="J292" s="2">
        <v>150.69999999999999</v>
      </c>
      <c r="K292" s="2">
        <v>160</v>
      </c>
      <c r="L292" s="2">
        <v>158.80000000000001</v>
      </c>
      <c r="M292" s="2">
        <v>112.8</v>
      </c>
      <c r="N292" s="2">
        <v>164.2</v>
      </c>
      <c r="O292" s="2">
        <v>155.5</v>
      </c>
      <c r="P292" s="2">
        <v>167.5</v>
      </c>
      <c r="Q292" s="2">
        <v>156.9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</row>
    <row r="293" spans="1:31" ht="15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142.5</v>
      </c>
      <c r="F293" s="2">
        <v>189.4</v>
      </c>
      <c r="G293" s="2">
        <v>163.19999999999999</v>
      </c>
      <c r="H293" s="2">
        <v>154.5</v>
      </c>
      <c r="I293" s="2">
        <v>168.2</v>
      </c>
      <c r="J293" s="2">
        <v>150.5</v>
      </c>
      <c r="K293" s="2">
        <v>141</v>
      </c>
      <c r="L293" s="2">
        <v>159.19999999999999</v>
      </c>
      <c r="M293" s="2">
        <v>111.7</v>
      </c>
      <c r="N293" s="2">
        <v>164</v>
      </c>
      <c r="O293" s="2">
        <v>160.6</v>
      </c>
      <c r="P293" s="2">
        <v>166.4</v>
      </c>
      <c r="Q293" s="2">
        <v>154.5</v>
      </c>
      <c r="R293" s="2">
        <v>186.1</v>
      </c>
      <c r="S293" s="2">
        <v>159.6</v>
      </c>
      <c r="T293" s="2">
        <v>154.4</v>
      </c>
      <c r="U293" s="2">
        <v>158.9</v>
      </c>
      <c r="V293" s="2">
        <f>VLOOKUP($A293,'Impute housing Missing Value'!$A$1:$C$125,3,0)</f>
        <v>159.9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</row>
    <row r="294" spans="1:31" ht="15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147.5</v>
      </c>
      <c r="F294" s="2">
        <v>197.5</v>
      </c>
      <c r="G294" s="2">
        <v>164.7</v>
      </c>
      <c r="H294" s="2">
        <v>155.6</v>
      </c>
      <c r="I294" s="2">
        <v>156.4</v>
      </c>
      <c r="J294" s="2">
        <v>157.30000000000001</v>
      </c>
      <c r="K294" s="2">
        <v>166.1</v>
      </c>
      <c r="L294" s="2">
        <v>161.1</v>
      </c>
      <c r="M294" s="2">
        <v>114.3</v>
      </c>
      <c r="N294" s="2">
        <v>162.6</v>
      </c>
      <c r="O294" s="2">
        <v>150.69999999999999</v>
      </c>
      <c r="P294" s="2">
        <v>170.3</v>
      </c>
      <c r="Q294" s="2">
        <v>160.4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</row>
    <row r="295" spans="1:31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144.1</v>
      </c>
      <c r="F295" s="2">
        <v>192.2</v>
      </c>
      <c r="G295" s="2">
        <v>163.80000000000001</v>
      </c>
      <c r="H295" s="2">
        <v>154.9</v>
      </c>
      <c r="I295" s="2">
        <v>163.9</v>
      </c>
      <c r="J295" s="2">
        <v>153.69999999999999</v>
      </c>
      <c r="K295" s="2">
        <v>149.5</v>
      </c>
      <c r="L295" s="2">
        <v>159.80000000000001</v>
      </c>
      <c r="M295" s="2">
        <v>112.6</v>
      </c>
      <c r="N295" s="2">
        <v>163.5</v>
      </c>
      <c r="O295" s="2">
        <v>156.5</v>
      </c>
      <c r="P295" s="2">
        <v>168.2</v>
      </c>
      <c r="Q295" s="2">
        <v>156.69999999999999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</row>
    <row r="296" spans="1:31" ht="15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142.69999999999999</v>
      </c>
      <c r="F296" s="2">
        <v>195.5</v>
      </c>
      <c r="G296" s="2">
        <v>163.4</v>
      </c>
      <c r="H296" s="2">
        <v>155</v>
      </c>
      <c r="I296" s="2">
        <v>175.2</v>
      </c>
      <c r="J296" s="2">
        <v>160.6</v>
      </c>
      <c r="K296" s="2">
        <v>135.1</v>
      </c>
      <c r="L296" s="2">
        <v>161.1</v>
      </c>
      <c r="M296" s="2">
        <v>112.2</v>
      </c>
      <c r="N296" s="2">
        <v>164.4</v>
      </c>
      <c r="O296" s="2">
        <v>161.9</v>
      </c>
      <c r="P296" s="2">
        <v>166.8</v>
      </c>
      <c r="Q296" s="2">
        <v>155.6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>
        <f>VLOOKUP($A296,'Impute housing Missing Value'!$A$1:$C$125,3,0)</f>
        <v>161.4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</row>
    <row r="297" spans="1:31" ht="15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147.6</v>
      </c>
      <c r="F297" s="2">
        <v>202.5</v>
      </c>
      <c r="G297" s="2">
        <v>166.4</v>
      </c>
      <c r="H297" s="2">
        <v>156</v>
      </c>
      <c r="I297" s="2">
        <v>161.4</v>
      </c>
      <c r="J297" s="2">
        <v>168.8</v>
      </c>
      <c r="K297" s="2">
        <v>161.6</v>
      </c>
      <c r="L297" s="2">
        <v>162.80000000000001</v>
      </c>
      <c r="M297" s="2">
        <v>114.8</v>
      </c>
      <c r="N297" s="2">
        <v>162.80000000000001</v>
      </c>
      <c r="O297" s="2">
        <v>151.5</v>
      </c>
      <c r="P297" s="2">
        <v>171.4</v>
      </c>
      <c r="Q297" s="2">
        <v>162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</row>
    <row r="298" spans="1:31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144.30000000000001</v>
      </c>
      <c r="F298" s="2">
        <v>198</v>
      </c>
      <c r="G298" s="2">
        <v>164.6</v>
      </c>
      <c r="H298" s="2">
        <v>155.4</v>
      </c>
      <c r="I298" s="2">
        <v>170.1</v>
      </c>
      <c r="J298" s="2">
        <v>164.4</v>
      </c>
      <c r="K298" s="2">
        <v>144.1</v>
      </c>
      <c r="L298" s="2">
        <v>161.69999999999999</v>
      </c>
      <c r="M298" s="2">
        <v>113.1</v>
      </c>
      <c r="N298" s="2">
        <v>163.9</v>
      </c>
      <c r="O298" s="2">
        <v>157.6</v>
      </c>
      <c r="P298" s="2">
        <v>168.9</v>
      </c>
      <c r="Q298" s="2">
        <v>158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</row>
    <row r="299" spans="1:31" ht="15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145.1</v>
      </c>
      <c r="F299" s="2">
        <v>198.5</v>
      </c>
      <c r="G299" s="2">
        <v>168.6</v>
      </c>
      <c r="H299" s="2">
        <v>155.80000000000001</v>
      </c>
      <c r="I299" s="2">
        <v>184.4</v>
      </c>
      <c r="J299" s="2">
        <v>162.30000000000001</v>
      </c>
      <c r="K299" s="2">
        <v>138.4</v>
      </c>
      <c r="L299" s="2">
        <v>165.1</v>
      </c>
      <c r="M299" s="2">
        <v>114.3</v>
      </c>
      <c r="N299" s="2">
        <v>169.7</v>
      </c>
      <c r="O299" s="2">
        <v>164.6</v>
      </c>
      <c r="P299" s="2">
        <v>169.8</v>
      </c>
      <c r="Q299" s="2">
        <v>158.69999999999999</v>
      </c>
      <c r="R299" s="2">
        <v>189.6</v>
      </c>
      <c r="S299" s="2">
        <v>165.3</v>
      </c>
      <c r="T299" s="2">
        <v>160.6</v>
      </c>
      <c r="U299" s="2">
        <v>164.5</v>
      </c>
      <c r="V299" s="2">
        <f>VLOOKUP($A299,'Impute housing Missing Value'!$A$1:$C$125,3,0)</f>
        <v>161.6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</row>
    <row r="300" spans="1:31" ht="15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148.80000000000001</v>
      </c>
      <c r="F300" s="2">
        <v>204.3</v>
      </c>
      <c r="G300" s="2">
        <v>173</v>
      </c>
      <c r="H300" s="2">
        <v>156.5</v>
      </c>
      <c r="I300" s="2">
        <v>168.8</v>
      </c>
      <c r="J300" s="2">
        <v>172.5</v>
      </c>
      <c r="K300" s="2">
        <v>166.5</v>
      </c>
      <c r="L300" s="2">
        <v>165.9</v>
      </c>
      <c r="M300" s="2">
        <v>115.9</v>
      </c>
      <c r="N300" s="2">
        <v>165.2</v>
      </c>
      <c r="O300" s="2">
        <v>152</v>
      </c>
      <c r="P300" s="2">
        <v>171.1</v>
      </c>
      <c r="Q300" s="2">
        <v>164.2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</row>
    <row r="301" spans="1:31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146.30000000000001</v>
      </c>
      <c r="F301" s="2">
        <v>200.5</v>
      </c>
      <c r="G301" s="2">
        <v>170.3</v>
      </c>
      <c r="H301" s="2">
        <v>156.1</v>
      </c>
      <c r="I301" s="2">
        <v>178.7</v>
      </c>
      <c r="J301" s="2">
        <v>167.1</v>
      </c>
      <c r="K301" s="2">
        <v>147.9</v>
      </c>
      <c r="L301" s="2">
        <v>165.4</v>
      </c>
      <c r="M301" s="2">
        <v>114.8</v>
      </c>
      <c r="N301" s="2">
        <v>168.2</v>
      </c>
      <c r="O301" s="2">
        <v>159.30000000000001</v>
      </c>
      <c r="P301" s="2">
        <v>170.4</v>
      </c>
      <c r="Q301" s="2">
        <v>160.69999999999999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</row>
    <row r="302" spans="1:31" ht="15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145.6</v>
      </c>
      <c r="F302" s="2">
        <v>200.1</v>
      </c>
      <c r="G302" s="2">
        <v>179.3</v>
      </c>
      <c r="H302" s="2">
        <v>156.1</v>
      </c>
      <c r="I302" s="2">
        <v>190.4</v>
      </c>
      <c r="J302" s="2">
        <v>158.6</v>
      </c>
      <c r="K302" s="2">
        <v>144.69999999999999</v>
      </c>
      <c r="L302" s="2">
        <v>165.5</v>
      </c>
      <c r="M302" s="2">
        <v>114.6</v>
      </c>
      <c r="N302" s="2">
        <v>170</v>
      </c>
      <c r="O302" s="2">
        <v>165.5</v>
      </c>
      <c r="P302" s="2">
        <v>171.7</v>
      </c>
      <c r="Q302" s="2">
        <v>160.5</v>
      </c>
      <c r="R302" s="2">
        <v>189.1</v>
      </c>
      <c r="S302" s="2">
        <v>165.3</v>
      </c>
      <c r="T302" s="2">
        <v>159.9</v>
      </c>
      <c r="U302" s="2">
        <v>164.6</v>
      </c>
      <c r="V302" s="2">
        <f>VLOOKUP($A302,'Impute housing Missing Value'!$A$1:$C$125,3,0)</f>
        <v>160.5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</row>
    <row r="303" spans="1:31" ht="15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149.19999999999999</v>
      </c>
      <c r="F303" s="2">
        <v>205.5</v>
      </c>
      <c r="G303" s="2">
        <v>182.8</v>
      </c>
      <c r="H303" s="2">
        <v>156.5</v>
      </c>
      <c r="I303" s="2">
        <v>172.2</v>
      </c>
      <c r="J303" s="2">
        <v>171.5</v>
      </c>
      <c r="K303" s="2">
        <v>176.2</v>
      </c>
      <c r="L303" s="2">
        <v>166.9</v>
      </c>
      <c r="M303" s="2">
        <v>116.1</v>
      </c>
      <c r="N303" s="2">
        <v>165.5</v>
      </c>
      <c r="O303" s="2">
        <v>152.30000000000001</v>
      </c>
      <c r="P303" s="2">
        <v>173.3</v>
      </c>
      <c r="Q303" s="2">
        <v>166.2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</row>
    <row r="304" spans="1:31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146.69999999999999</v>
      </c>
      <c r="F304" s="2">
        <v>202</v>
      </c>
      <c r="G304" s="2">
        <v>180.7</v>
      </c>
      <c r="H304" s="2">
        <v>156.19999999999999</v>
      </c>
      <c r="I304" s="2">
        <v>183.7</v>
      </c>
      <c r="J304" s="2">
        <v>164.6</v>
      </c>
      <c r="K304" s="2">
        <v>155.4</v>
      </c>
      <c r="L304" s="2">
        <v>166</v>
      </c>
      <c r="M304" s="2">
        <v>115.1</v>
      </c>
      <c r="N304" s="2">
        <v>168.5</v>
      </c>
      <c r="O304" s="2">
        <v>160</v>
      </c>
      <c r="P304" s="2">
        <v>172.4</v>
      </c>
      <c r="Q304" s="2">
        <v>162.6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</row>
    <row r="305" spans="1:31" ht="15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145.1</v>
      </c>
      <c r="F305" s="2">
        <v>204.5</v>
      </c>
      <c r="G305" s="2">
        <v>180.4</v>
      </c>
      <c r="H305" s="2">
        <v>157.1</v>
      </c>
      <c r="I305" s="2">
        <v>188.7</v>
      </c>
      <c r="J305" s="2">
        <v>157.69999999999999</v>
      </c>
      <c r="K305" s="2">
        <v>152.80000000000001</v>
      </c>
      <c r="L305" s="2">
        <v>163.6</v>
      </c>
      <c r="M305" s="2">
        <v>113.9</v>
      </c>
      <c r="N305" s="2">
        <v>169.7</v>
      </c>
      <c r="O305" s="2">
        <v>166.2</v>
      </c>
      <c r="P305" s="2">
        <v>171</v>
      </c>
      <c r="Q305" s="2">
        <v>161.69999999999999</v>
      </c>
      <c r="R305" s="2">
        <v>189.7</v>
      </c>
      <c r="S305" s="2">
        <v>166</v>
      </c>
      <c r="T305" s="2">
        <v>161.1</v>
      </c>
      <c r="U305" s="2">
        <v>165.3</v>
      </c>
      <c r="V305" s="2">
        <f>VLOOKUP($A305,'Impute housing Missing Value'!$A$1:$C$125,3,0)</f>
        <v>161.5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</row>
    <row r="306" spans="1:31" ht="15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149.1</v>
      </c>
      <c r="F306" s="2">
        <v>210.9</v>
      </c>
      <c r="G306" s="2">
        <v>185</v>
      </c>
      <c r="H306" s="2">
        <v>158.19999999999999</v>
      </c>
      <c r="I306" s="2">
        <v>170.6</v>
      </c>
      <c r="J306" s="2">
        <v>170.9</v>
      </c>
      <c r="K306" s="2">
        <v>186.4</v>
      </c>
      <c r="L306" s="2">
        <v>164.7</v>
      </c>
      <c r="M306" s="2">
        <v>115.7</v>
      </c>
      <c r="N306" s="2">
        <v>165.5</v>
      </c>
      <c r="O306" s="2">
        <v>153.4</v>
      </c>
      <c r="P306" s="2">
        <v>173.5</v>
      </c>
      <c r="Q306" s="2">
        <v>167.9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</row>
    <row r="307" spans="1:31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146.4</v>
      </c>
      <c r="F307" s="2">
        <v>206.8</v>
      </c>
      <c r="G307" s="2">
        <v>182.2</v>
      </c>
      <c r="H307" s="2">
        <v>157.5</v>
      </c>
      <c r="I307" s="2">
        <v>182.1</v>
      </c>
      <c r="J307" s="2">
        <v>163.9</v>
      </c>
      <c r="K307" s="2">
        <v>164.2</v>
      </c>
      <c r="L307" s="2">
        <v>164</v>
      </c>
      <c r="M307" s="2">
        <v>114.5</v>
      </c>
      <c r="N307" s="2">
        <v>168.3</v>
      </c>
      <c r="O307" s="2">
        <v>160.9</v>
      </c>
      <c r="P307" s="2">
        <v>172.2</v>
      </c>
      <c r="Q307" s="2">
        <v>164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</row>
    <row r="308" spans="1:31" ht="15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144.9</v>
      </c>
      <c r="F308" s="2">
        <v>202.3</v>
      </c>
      <c r="G308" s="2">
        <v>176.5</v>
      </c>
      <c r="H308" s="2">
        <v>157.5</v>
      </c>
      <c r="I308" s="2">
        <v>190.9</v>
      </c>
      <c r="J308" s="2">
        <v>155.69999999999999</v>
      </c>
      <c r="K308" s="2">
        <v>153.9</v>
      </c>
      <c r="L308" s="2">
        <v>162.80000000000001</v>
      </c>
      <c r="M308" s="2">
        <v>115.2</v>
      </c>
      <c r="N308" s="2">
        <v>169.8</v>
      </c>
      <c r="O308" s="2">
        <v>167.6</v>
      </c>
      <c r="P308" s="2">
        <v>171.9</v>
      </c>
      <c r="Q308" s="2">
        <v>161.80000000000001</v>
      </c>
      <c r="R308" s="2">
        <v>190.2</v>
      </c>
      <c r="S308" s="2">
        <v>167</v>
      </c>
      <c r="T308" s="2">
        <v>162.6</v>
      </c>
      <c r="U308" s="2">
        <v>166.3</v>
      </c>
      <c r="V308" s="2">
        <f>VLOOKUP($A308,'Impute housing Missing Value'!$A$1:$C$125,3,0)</f>
        <v>162.1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</row>
    <row r="309" spans="1:31" ht="15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149.30000000000001</v>
      </c>
      <c r="F309" s="2">
        <v>207.4</v>
      </c>
      <c r="G309" s="2">
        <v>174.1</v>
      </c>
      <c r="H309" s="2">
        <v>159.19999999999999</v>
      </c>
      <c r="I309" s="2">
        <v>175</v>
      </c>
      <c r="J309" s="2">
        <v>161.30000000000001</v>
      </c>
      <c r="K309" s="2">
        <v>183.3</v>
      </c>
      <c r="L309" s="2">
        <v>164.5</v>
      </c>
      <c r="M309" s="2">
        <v>120.4</v>
      </c>
      <c r="N309" s="2">
        <v>166.2</v>
      </c>
      <c r="O309" s="2">
        <v>154.80000000000001</v>
      </c>
      <c r="P309" s="2">
        <v>175.1</v>
      </c>
      <c r="Q309" s="2">
        <v>167.3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</row>
    <row r="310" spans="1:31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146.6</v>
      </c>
      <c r="F310" s="2">
        <v>204</v>
      </c>
      <c r="G310" s="2">
        <v>172.8</v>
      </c>
      <c r="H310" s="2">
        <v>158.4</v>
      </c>
      <c r="I310" s="2">
        <v>188</v>
      </c>
      <c r="J310" s="2">
        <v>156.80000000000001</v>
      </c>
      <c r="K310" s="2">
        <v>162.19999999999999</v>
      </c>
      <c r="L310" s="2">
        <v>164.1</v>
      </c>
      <c r="M310" s="2">
        <v>119.7</v>
      </c>
      <c r="N310" s="2">
        <v>168.8</v>
      </c>
      <c r="O310" s="2">
        <v>162.69999999999999</v>
      </c>
      <c r="P310" s="2">
        <v>173.9</v>
      </c>
      <c r="Q310" s="2">
        <v>164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</row>
    <row r="311" spans="1:31" ht="26.5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145.4</v>
      </c>
      <c r="F311" s="2">
        <v>202.1</v>
      </c>
      <c r="G311" s="2">
        <v>172</v>
      </c>
      <c r="H311" s="2">
        <v>158</v>
      </c>
      <c r="I311" s="2">
        <v>195.5</v>
      </c>
      <c r="J311" s="2">
        <v>152.69999999999999</v>
      </c>
      <c r="K311" s="2">
        <v>151.4</v>
      </c>
      <c r="L311" s="2">
        <v>163.9</v>
      </c>
      <c r="M311" s="2">
        <v>119.3</v>
      </c>
      <c r="N311" s="2">
        <v>170.1</v>
      </c>
      <c r="O311" s="2">
        <v>168.3</v>
      </c>
      <c r="P311" s="2">
        <v>172.8</v>
      </c>
      <c r="Q311" s="2">
        <v>162.1</v>
      </c>
      <c r="R311" s="2">
        <v>190.5</v>
      </c>
      <c r="S311" s="2">
        <v>167.7</v>
      </c>
      <c r="T311" s="2">
        <v>163.6</v>
      </c>
      <c r="U311" s="2">
        <v>167.1</v>
      </c>
      <c r="V311" s="2">
        <f>VLOOKUP($A311,'Impute housing Missing Value'!$A$1:$C$125,3,0)</f>
        <v>162.1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</row>
    <row r="312" spans="1:31" ht="26.5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149.30000000000001</v>
      </c>
      <c r="F312" s="2">
        <v>207.4</v>
      </c>
      <c r="G312" s="2">
        <v>174.1</v>
      </c>
      <c r="H312" s="2">
        <v>159.1</v>
      </c>
      <c r="I312" s="2">
        <v>175</v>
      </c>
      <c r="J312" s="2">
        <v>161.19999999999999</v>
      </c>
      <c r="K312" s="2">
        <v>183.5</v>
      </c>
      <c r="L312" s="2">
        <v>164.5</v>
      </c>
      <c r="M312" s="2">
        <v>120.4</v>
      </c>
      <c r="N312" s="2">
        <v>166.2</v>
      </c>
      <c r="O312" s="2">
        <v>154.80000000000001</v>
      </c>
      <c r="P312" s="2">
        <v>175.1</v>
      </c>
      <c r="Q312" s="2">
        <v>167.3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</row>
    <row r="313" spans="1:31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146.6</v>
      </c>
      <c r="F313" s="2">
        <v>204</v>
      </c>
      <c r="G313" s="2">
        <v>172.8</v>
      </c>
      <c r="H313" s="2">
        <v>158.4</v>
      </c>
      <c r="I313" s="2">
        <v>188</v>
      </c>
      <c r="J313" s="2">
        <v>156.69999999999999</v>
      </c>
      <c r="K313" s="2">
        <v>162.30000000000001</v>
      </c>
      <c r="L313" s="2">
        <v>164.1</v>
      </c>
      <c r="M313" s="2">
        <v>119.7</v>
      </c>
      <c r="N313" s="2">
        <v>168.8</v>
      </c>
      <c r="O313" s="2">
        <v>162.69999999999999</v>
      </c>
      <c r="P313" s="2">
        <v>173.9</v>
      </c>
      <c r="Q313" s="2">
        <v>164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</row>
    <row r="314" spans="1:31" ht="15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146.1</v>
      </c>
      <c r="F314" s="2">
        <v>202.5</v>
      </c>
      <c r="G314" s="2">
        <v>170.1</v>
      </c>
      <c r="H314" s="2">
        <v>158.4</v>
      </c>
      <c r="I314" s="2">
        <v>198.8</v>
      </c>
      <c r="J314" s="2">
        <v>152.6</v>
      </c>
      <c r="K314" s="2">
        <v>170.4</v>
      </c>
      <c r="L314" s="2">
        <v>165.2</v>
      </c>
      <c r="M314" s="2">
        <v>121.6</v>
      </c>
      <c r="N314" s="2">
        <v>170.6</v>
      </c>
      <c r="O314" s="2">
        <v>168.8</v>
      </c>
      <c r="P314" s="2">
        <v>173.6</v>
      </c>
      <c r="Q314" s="2">
        <v>165.5</v>
      </c>
      <c r="R314" s="2">
        <v>191.2</v>
      </c>
      <c r="S314" s="2">
        <v>168.9</v>
      </c>
      <c r="T314" s="2">
        <v>164.8</v>
      </c>
      <c r="U314" s="2">
        <v>168.3</v>
      </c>
      <c r="V314" s="2">
        <f>VLOOKUP($A314,'Impute housing Missing Value'!$A$1:$C$125,3,0)</f>
        <v>163.6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</row>
    <row r="315" spans="1:31" ht="15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150.1</v>
      </c>
      <c r="F315" s="2">
        <v>208.4</v>
      </c>
      <c r="G315" s="2">
        <v>173</v>
      </c>
      <c r="H315" s="2">
        <v>159.19999999999999</v>
      </c>
      <c r="I315" s="2">
        <v>176.6</v>
      </c>
      <c r="J315" s="2">
        <v>159.30000000000001</v>
      </c>
      <c r="K315" s="2">
        <v>214.4</v>
      </c>
      <c r="L315" s="2">
        <v>165.3</v>
      </c>
      <c r="M315" s="2">
        <v>122.5</v>
      </c>
      <c r="N315" s="2">
        <v>166.8</v>
      </c>
      <c r="O315" s="2">
        <v>155.4</v>
      </c>
      <c r="P315" s="2">
        <v>175.9</v>
      </c>
      <c r="Q315" s="2">
        <v>171.5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</row>
    <row r="316" spans="1:31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147.4</v>
      </c>
      <c r="F316" s="2">
        <v>204.6</v>
      </c>
      <c r="G316" s="2">
        <v>171.2</v>
      </c>
      <c r="H316" s="2">
        <v>158.69999999999999</v>
      </c>
      <c r="I316" s="2">
        <v>190.6</v>
      </c>
      <c r="J316" s="2">
        <v>155.69999999999999</v>
      </c>
      <c r="K316" s="2">
        <v>185.3</v>
      </c>
      <c r="L316" s="2">
        <v>165.2</v>
      </c>
      <c r="M316" s="2">
        <v>121.9</v>
      </c>
      <c r="N316" s="2">
        <v>169.3</v>
      </c>
      <c r="O316" s="2">
        <v>163.19999999999999</v>
      </c>
      <c r="P316" s="2">
        <v>174.7</v>
      </c>
      <c r="Q316" s="2">
        <v>167.7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</row>
    <row r="317" spans="1:31" ht="26.5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146.9</v>
      </c>
      <c r="F317" s="2">
        <v>199.8</v>
      </c>
      <c r="G317" s="2">
        <v>171.5</v>
      </c>
      <c r="H317" s="2">
        <v>159.1</v>
      </c>
      <c r="I317" s="2">
        <v>198.4</v>
      </c>
      <c r="J317" s="2">
        <v>153.19999999999999</v>
      </c>
      <c r="K317" s="2">
        <v>183.9</v>
      </c>
      <c r="L317" s="2">
        <v>165.4</v>
      </c>
      <c r="M317" s="2">
        <v>122.1</v>
      </c>
      <c r="N317" s="2">
        <v>170.8</v>
      </c>
      <c r="O317" s="2">
        <v>169.1</v>
      </c>
      <c r="P317" s="2">
        <v>174.3</v>
      </c>
      <c r="Q317" s="2">
        <v>167.5</v>
      </c>
      <c r="R317" s="2">
        <v>191.4</v>
      </c>
      <c r="S317" s="2">
        <v>170.4</v>
      </c>
      <c r="T317" s="2">
        <v>166</v>
      </c>
      <c r="U317" s="2">
        <v>169.8</v>
      </c>
      <c r="V317" s="2">
        <f>VLOOKUP($A317,'Impute housing Missing Value'!$A$1:$C$125,3,0)</f>
        <v>164.2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</row>
    <row r="318" spans="1:31" ht="26.5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151</v>
      </c>
      <c r="F318" s="2">
        <v>204.9</v>
      </c>
      <c r="G318" s="2">
        <v>175.4</v>
      </c>
      <c r="H318" s="2">
        <v>159.6</v>
      </c>
      <c r="I318" s="2">
        <v>175.8</v>
      </c>
      <c r="J318" s="2">
        <v>160.30000000000001</v>
      </c>
      <c r="K318" s="2">
        <v>229.1</v>
      </c>
      <c r="L318" s="2">
        <v>165.1</v>
      </c>
      <c r="M318" s="2">
        <v>123.1</v>
      </c>
      <c r="N318" s="2">
        <v>167.2</v>
      </c>
      <c r="O318" s="2">
        <v>156.1</v>
      </c>
      <c r="P318" s="2">
        <v>176.8</v>
      </c>
      <c r="Q318" s="2">
        <v>173.5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</row>
    <row r="319" spans="1:31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148.19999999999999</v>
      </c>
      <c r="F319" s="2">
        <v>201.6</v>
      </c>
      <c r="G319" s="2">
        <v>173</v>
      </c>
      <c r="H319" s="2">
        <v>159.30000000000001</v>
      </c>
      <c r="I319" s="2">
        <v>190.1</v>
      </c>
      <c r="J319" s="2">
        <v>156.5</v>
      </c>
      <c r="K319" s="2">
        <v>199.2</v>
      </c>
      <c r="L319" s="2">
        <v>165.3</v>
      </c>
      <c r="M319" s="2">
        <v>122.4</v>
      </c>
      <c r="N319" s="2">
        <v>169.6</v>
      </c>
      <c r="O319" s="2">
        <v>163.69999999999999</v>
      </c>
      <c r="P319" s="2">
        <v>175.5</v>
      </c>
      <c r="Q319" s="2">
        <v>169.7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</row>
    <row r="320" spans="1:31" ht="26.5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147.4</v>
      </c>
      <c r="F320" s="2">
        <v>197</v>
      </c>
      <c r="G320" s="2">
        <v>176.5</v>
      </c>
      <c r="H320" s="2">
        <v>159.80000000000001</v>
      </c>
      <c r="I320" s="2">
        <v>195.8</v>
      </c>
      <c r="J320" s="2">
        <v>152</v>
      </c>
      <c r="K320" s="2">
        <v>172.3</v>
      </c>
      <c r="L320" s="2">
        <v>164.5</v>
      </c>
      <c r="M320" s="2">
        <v>120.6</v>
      </c>
      <c r="N320" s="2">
        <v>171.7</v>
      </c>
      <c r="O320" s="2">
        <v>169.7</v>
      </c>
      <c r="P320" s="2">
        <v>175.1</v>
      </c>
      <c r="Q320" s="2">
        <v>165.8</v>
      </c>
      <c r="R320" s="2">
        <v>190.8</v>
      </c>
      <c r="S320" s="2">
        <v>171.8</v>
      </c>
      <c r="T320" s="2">
        <v>167.3</v>
      </c>
      <c r="U320" s="2">
        <v>171.2</v>
      </c>
      <c r="V320" s="2">
        <f>VLOOKUP($A320,'Impute housing Missing Value'!$A$1:$C$125,3,0)</f>
        <v>163.4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</row>
    <row r="321" spans="1:31" ht="26.5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151.6</v>
      </c>
      <c r="F321" s="2">
        <v>202.2</v>
      </c>
      <c r="G321" s="2">
        <v>180</v>
      </c>
      <c r="H321" s="2">
        <v>160</v>
      </c>
      <c r="I321" s="2">
        <v>173.5</v>
      </c>
      <c r="J321" s="2">
        <v>158.30000000000001</v>
      </c>
      <c r="K321" s="2">
        <v>219.5</v>
      </c>
      <c r="L321" s="2">
        <v>164.2</v>
      </c>
      <c r="M321" s="2">
        <v>121.9</v>
      </c>
      <c r="N321" s="2">
        <v>168.2</v>
      </c>
      <c r="O321" s="2">
        <v>156.5</v>
      </c>
      <c r="P321" s="2">
        <v>178.2</v>
      </c>
      <c r="Q321" s="2">
        <v>172.2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</row>
    <row r="322" spans="1:31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148.69999999999999</v>
      </c>
      <c r="F322" s="2">
        <v>198.8</v>
      </c>
      <c r="G322" s="2">
        <v>177.9</v>
      </c>
      <c r="H322" s="2">
        <v>159.9</v>
      </c>
      <c r="I322" s="2">
        <v>187.6</v>
      </c>
      <c r="J322" s="2">
        <v>154.9</v>
      </c>
      <c r="K322" s="2">
        <v>188.3</v>
      </c>
      <c r="L322" s="2">
        <v>164.4</v>
      </c>
      <c r="M322" s="2">
        <v>121</v>
      </c>
      <c r="N322" s="2">
        <v>170.5</v>
      </c>
      <c r="O322" s="2">
        <v>164.2</v>
      </c>
      <c r="P322" s="2">
        <v>176.5</v>
      </c>
      <c r="Q322" s="2">
        <v>168.2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</row>
    <row r="323" spans="1:31" ht="15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148.30000000000001</v>
      </c>
      <c r="F323" s="2">
        <v>196.9</v>
      </c>
      <c r="G323" s="2">
        <v>178</v>
      </c>
      <c r="H323" s="2">
        <v>160.5</v>
      </c>
      <c r="I323" s="2">
        <v>192.6</v>
      </c>
      <c r="J323" s="2">
        <v>151.19999999999999</v>
      </c>
      <c r="K323" s="2">
        <v>159.19999999999999</v>
      </c>
      <c r="L323" s="2">
        <v>164</v>
      </c>
      <c r="M323" s="2">
        <v>119.3</v>
      </c>
      <c r="N323" s="2">
        <v>173.3</v>
      </c>
      <c r="O323" s="2">
        <v>169.8</v>
      </c>
      <c r="P323" s="2">
        <v>175.8</v>
      </c>
      <c r="Q323" s="2">
        <v>164.1</v>
      </c>
      <c r="R323" s="2">
        <v>190.7</v>
      </c>
      <c r="S323" s="2">
        <v>173.2</v>
      </c>
      <c r="T323" s="2">
        <v>169.3</v>
      </c>
      <c r="U323" s="2">
        <v>172.7</v>
      </c>
      <c r="V323" s="2">
        <f>VLOOKUP($A323,'Impute housing Missing Value'!$A$1:$C$125,3,0)</f>
        <v>164.5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</row>
    <row r="324" spans="1:31" ht="15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152.19999999999999</v>
      </c>
      <c r="F324" s="2">
        <v>202.1</v>
      </c>
      <c r="G324" s="2">
        <v>180.1</v>
      </c>
      <c r="H324" s="2">
        <v>160.4</v>
      </c>
      <c r="I324" s="2">
        <v>171</v>
      </c>
      <c r="J324" s="2">
        <v>156.5</v>
      </c>
      <c r="K324" s="2">
        <v>203.6</v>
      </c>
      <c r="L324" s="2">
        <v>163.80000000000001</v>
      </c>
      <c r="M324" s="2">
        <v>121.3</v>
      </c>
      <c r="N324" s="2">
        <v>169.8</v>
      </c>
      <c r="O324" s="2">
        <v>156.6</v>
      </c>
      <c r="P324" s="2">
        <v>179</v>
      </c>
      <c r="Q324" s="2">
        <v>170.3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</row>
    <row r="325" spans="1:31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149.5</v>
      </c>
      <c r="F325" s="2">
        <v>198.7</v>
      </c>
      <c r="G325" s="2">
        <v>178.8</v>
      </c>
      <c r="H325" s="2">
        <v>160.5</v>
      </c>
      <c r="I325" s="2">
        <v>184.7</v>
      </c>
      <c r="J325" s="2">
        <v>153.69999999999999</v>
      </c>
      <c r="K325" s="2">
        <v>174.3</v>
      </c>
      <c r="L325" s="2">
        <v>163.9</v>
      </c>
      <c r="M325" s="2">
        <v>120</v>
      </c>
      <c r="N325" s="2">
        <v>172.1</v>
      </c>
      <c r="O325" s="2">
        <v>164.3</v>
      </c>
      <c r="P325" s="2">
        <v>177.3</v>
      </c>
      <c r="Q325" s="2">
        <v>166.4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</row>
    <row r="326" spans="1:31" ht="15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148.80000000000001</v>
      </c>
      <c r="F326" s="2">
        <v>198.1</v>
      </c>
      <c r="G326" s="2">
        <v>175.5</v>
      </c>
      <c r="H326" s="2">
        <v>160.69999999999999</v>
      </c>
      <c r="I326" s="2">
        <v>192.6</v>
      </c>
      <c r="J326" s="2">
        <v>151.4</v>
      </c>
      <c r="K326" s="2">
        <v>155.19999999999999</v>
      </c>
      <c r="L326" s="2">
        <v>163.9</v>
      </c>
      <c r="M326" s="2">
        <v>118.1</v>
      </c>
      <c r="N326" s="2">
        <v>175.4</v>
      </c>
      <c r="O326" s="2">
        <v>170.5</v>
      </c>
      <c r="P326" s="2">
        <v>176.3</v>
      </c>
      <c r="Q326" s="2">
        <v>163.9</v>
      </c>
      <c r="R326" s="2">
        <v>191.5</v>
      </c>
      <c r="S326" s="2">
        <v>174.1</v>
      </c>
      <c r="T326" s="2">
        <v>171</v>
      </c>
      <c r="U326" s="2">
        <v>173.7</v>
      </c>
      <c r="V326" s="2">
        <f>VLOOKUP($A326,'Impute housing Missing Value'!$A$1:$C$125,3,0)</f>
        <v>165.5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</row>
    <row r="327" spans="1:31" ht="15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152.5</v>
      </c>
      <c r="F327" s="2">
        <v>205.2</v>
      </c>
      <c r="G327" s="2">
        <v>176.4</v>
      </c>
      <c r="H327" s="2">
        <v>160.6</v>
      </c>
      <c r="I327" s="2">
        <v>171.5</v>
      </c>
      <c r="J327" s="2">
        <v>156.4</v>
      </c>
      <c r="K327" s="2">
        <v>198</v>
      </c>
      <c r="L327" s="2">
        <v>163.19999999999999</v>
      </c>
      <c r="M327" s="2">
        <v>120.6</v>
      </c>
      <c r="N327" s="2">
        <v>172.2</v>
      </c>
      <c r="O327" s="2">
        <v>156.69999999999999</v>
      </c>
      <c r="P327" s="2">
        <v>180</v>
      </c>
      <c r="Q327" s="2">
        <v>170.2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</row>
    <row r="328" spans="1:31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150</v>
      </c>
      <c r="F328" s="2">
        <v>200.6</v>
      </c>
      <c r="G328" s="2">
        <v>175.8</v>
      </c>
      <c r="H328" s="2">
        <v>160.69999999999999</v>
      </c>
      <c r="I328" s="2">
        <v>184.9</v>
      </c>
      <c r="J328" s="2">
        <v>153.69999999999999</v>
      </c>
      <c r="K328" s="2">
        <v>169.7</v>
      </c>
      <c r="L328" s="2">
        <v>163.69999999999999</v>
      </c>
      <c r="M328" s="2">
        <v>118.9</v>
      </c>
      <c r="N328" s="2">
        <v>174.3</v>
      </c>
      <c r="O328" s="2">
        <v>164.7</v>
      </c>
      <c r="P328" s="2">
        <v>178</v>
      </c>
      <c r="Q328" s="2">
        <v>166.2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</row>
    <row r="329" spans="1:31" ht="15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150.19999999999999</v>
      </c>
      <c r="F329" s="2">
        <v>208</v>
      </c>
      <c r="G329" s="2">
        <v>167.9</v>
      </c>
      <c r="H329" s="2">
        <v>162</v>
      </c>
      <c r="I329" s="2">
        <v>203.1</v>
      </c>
      <c r="J329" s="2">
        <v>155.9</v>
      </c>
      <c r="K329" s="2">
        <v>155.80000000000001</v>
      </c>
      <c r="L329" s="2">
        <v>164.2</v>
      </c>
      <c r="M329" s="2">
        <v>118.1</v>
      </c>
      <c r="N329" s="2">
        <v>178.7</v>
      </c>
      <c r="O329" s="2">
        <v>171.2</v>
      </c>
      <c r="P329" s="2">
        <v>177.4</v>
      </c>
      <c r="Q329" s="2">
        <v>166.6</v>
      </c>
      <c r="R329" s="2">
        <v>192.3</v>
      </c>
      <c r="S329" s="2">
        <v>175.4</v>
      </c>
      <c r="T329" s="2">
        <v>173.2</v>
      </c>
      <c r="U329" s="2">
        <v>175.1</v>
      </c>
      <c r="V329" s="2">
        <f>VLOOKUP($A329,'Impute housing Missing Value'!$A$1:$C$125,3,0)</f>
        <v>165.3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</row>
    <row r="330" spans="1:31" ht="15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153.69999999999999</v>
      </c>
      <c r="F330" s="2">
        <v>215.8</v>
      </c>
      <c r="G330" s="2">
        <v>167.7</v>
      </c>
      <c r="H330" s="2">
        <v>162.6</v>
      </c>
      <c r="I330" s="2">
        <v>180</v>
      </c>
      <c r="J330" s="2">
        <v>159.6</v>
      </c>
      <c r="K330" s="2">
        <v>188.4</v>
      </c>
      <c r="L330" s="2">
        <v>163.4</v>
      </c>
      <c r="M330" s="2">
        <v>120.3</v>
      </c>
      <c r="N330" s="2">
        <v>174.7</v>
      </c>
      <c r="O330" s="2">
        <v>157.1</v>
      </c>
      <c r="P330" s="2">
        <v>181.5</v>
      </c>
      <c r="Q330" s="2">
        <v>171.5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</row>
    <row r="331" spans="1:31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151.30000000000001</v>
      </c>
      <c r="F331" s="2">
        <v>210.7</v>
      </c>
      <c r="G331" s="2">
        <v>167.8</v>
      </c>
      <c r="H331" s="2">
        <v>162.19999999999999</v>
      </c>
      <c r="I331" s="2">
        <v>194.6</v>
      </c>
      <c r="J331" s="2">
        <v>157.6</v>
      </c>
      <c r="K331" s="2">
        <v>166.9</v>
      </c>
      <c r="L331" s="2">
        <v>163.9</v>
      </c>
      <c r="M331" s="2">
        <v>118.8</v>
      </c>
      <c r="N331" s="2">
        <v>177.4</v>
      </c>
      <c r="O331" s="2">
        <v>165.3</v>
      </c>
      <c r="P331" s="2">
        <v>179.3</v>
      </c>
      <c r="Q331" s="2">
        <v>168.4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</row>
    <row r="332" spans="1:31" ht="15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151.80000000000001</v>
      </c>
      <c r="F332" s="2">
        <v>209.7</v>
      </c>
      <c r="G332" s="2">
        <v>164.5</v>
      </c>
      <c r="H332" s="2">
        <v>163.80000000000001</v>
      </c>
      <c r="I332" s="2">
        <v>207.4</v>
      </c>
      <c r="J332" s="2">
        <v>169.7</v>
      </c>
      <c r="K332" s="2">
        <v>153.6</v>
      </c>
      <c r="L332" s="2">
        <v>165.1</v>
      </c>
      <c r="M332" s="2">
        <v>118.2</v>
      </c>
      <c r="N332" s="2">
        <v>182.9</v>
      </c>
      <c r="O332" s="2">
        <v>172.4</v>
      </c>
      <c r="P332" s="2">
        <v>178.9</v>
      </c>
      <c r="Q332" s="2">
        <v>168.6</v>
      </c>
      <c r="R332" s="2">
        <v>192.8</v>
      </c>
      <c r="S332" s="2">
        <v>177.5</v>
      </c>
      <c r="T332" s="2">
        <v>175.1</v>
      </c>
      <c r="U332" s="2">
        <v>177.1</v>
      </c>
      <c r="V332" s="2">
        <f>VLOOKUP($A332,'Impute housing Missing Value'!$A$1:$C$125,3,0)</f>
        <v>167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</row>
    <row r="333" spans="1:31" ht="15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155.4</v>
      </c>
      <c r="F333" s="2">
        <v>215.8</v>
      </c>
      <c r="G333" s="2">
        <v>164.6</v>
      </c>
      <c r="H333" s="2">
        <v>164.2</v>
      </c>
      <c r="I333" s="2">
        <v>186</v>
      </c>
      <c r="J333" s="2">
        <v>175.9</v>
      </c>
      <c r="K333" s="2">
        <v>190.7</v>
      </c>
      <c r="L333" s="2">
        <v>164</v>
      </c>
      <c r="M333" s="2">
        <v>120.5</v>
      </c>
      <c r="N333" s="2">
        <v>178</v>
      </c>
      <c r="O333" s="2">
        <v>157.5</v>
      </c>
      <c r="P333" s="2">
        <v>183.3</v>
      </c>
      <c r="Q333" s="2">
        <v>174.5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</row>
    <row r="334" spans="1:31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152.9</v>
      </c>
      <c r="F334" s="2">
        <v>211.8</v>
      </c>
      <c r="G334" s="2">
        <v>164.5</v>
      </c>
      <c r="H334" s="2">
        <v>163.9</v>
      </c>
      <c r="I334" s="2">
        <v>199.5</v>
      </c>
      <c r="J334" s="2">
        <v>172.6</v>
      </c>
      <c r="K334" s="2">
        <v>166.2</v>
      </c>
      <c r="L334" s="2">
        <v>164.7</v>
      </c>
      <c r="M334" s="2">
        <v>119</v>
      </c>
      <c r="N334" s="2">
        <v>181.3</v>
      </c>
      <c r="O334" s="2">
        <v>166.2</v>
      </c>
      <c r="P334" s="2">
        <v>180.9</v>
      </c>
      <c r="Q334" s="2">
        <v>170.8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</row>
    <row r="335" spans="1:31" ht="15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152.9</v>
      </c>
      <c r="F335" s="2">
        <v>214.7</v>
      </c>
      <c r="G335" s="2">
        <v>161.4</v>
      </c>
      <c r="H335" s="2">
        <v>164.6</v>
      </c>
      <c r="I335" s="2">
        <v>209.9</v>
      </c>
      <c r="J335" s="2">
        <v>168</v>
      </c>
      <c r="K335" s="2">
        <v>160.4</v>
      </c>
      <c r="L335" s="2">
        <v>165</v>
      </c>
      <c r="M335" s="2">
        <v>118.9</v>
      </c>
      <c r="N335" s="2">
        <v>186.6</v>
      </c>
      <c r="O335" s="2">
        <v>173.2</v>
      </c>
      <c r="P335" s="2">
        <v>180.4</v>
      </c>
      <c r="Q335" s="2">
        <v>170.8</v>
      </c>
      <c r="R335" s="2">
        <v>192.9</v>
      </c>
      <c r="S335" s="2">
        <v>179.3</v>
      </c>
      <c r="T335" s="2">
        <v>177.2</v>
      </c>
      <c r="U335" s="2">
        <v>179</v>
      </c>
      <c r="V335" s="2">
        <f>VLOOKUP($A335,'Impute housing Missing Value'!$A$1:$C$125,3,0)</f>
        <v>167.5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</row>
    <row r="336" spans="1:31" ht="15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156.69999999999999</v>
      </c>
      <c r="F336" s="2">
        <v>221.2</v>
      </c>
      <c r="G336" s="2">
        <v>164.1</v>
      </c>
      <c r="H336" s="2">
        <v>165.4</v>
      </c>
      <c r="I336" s="2">
        <v>189.5</v>
      </c>
      <c r="J336" s="2">
        <v>174.5</v>
      </c>
      <c r="K336" s="2">
        <v>203.2</v>
      </c>
      <c r="L336" s="2">
        <v>164.1</v>
      </c>
      <c r="M336" s="2">
        <v>121.2</v>
      </c>
      <c r="N336" s="2">
        <v>181.4</v>
      </c>
      <c r="O336" s="2">
        <v>158.5</v>
      </c>
      <c r="P336" s="2">
        <v>184.9</v>
      </c>
      <c r="Q336" s="2">
        <v>177.5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</row>
    <row r="337" spans="1:31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154.1</v>
      </c>
      <c r="F337" s="2">
        <v>217</v>
      </c>
      <c r="G337" s="2">
        <v>162.4</v>
      </c>
      <c r="H337" s="2">
        <v>164.9</v>
      </c>
      <c r="I337" s="2">
        <v>202.4</v>
      </c>
      <c r="J337" s="2">
        <v>171</v>
      </c>
      <c r="K337" s="2">
        <v>174.9</v>
      </c>
      <c r="L337" s="2">
        <v>164.7</v>
      </c>
      <c r="M337" s="2">
        <v>119.7</v>
      </c>
      <c r="N337" s="2">
        <v>184.9</v>
      </c>
      <c r="O337" s="2">
        <v>167.1</v>
      </c>
      <c r="P337" s="2">
        <v>182.5</v>
      </c>
      <c r="Q337" s="2">
        <v>173.3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</row>
    <row r="338" spans="1:31" ht="15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153.80000000000001</v>
      </c>
      <c r="F338" s="2">
        <v>217.2</v>
      </c>
      <c r="G338" s="2">
        <v>169.6</v>
      </c>
      <c r="H338" s="2">
        <v>165.4</v>
      </c>
      <c r="I338" s="2">
        <v>208.1</v>
      </c>
      <c r="J338" s="2">
        <v>165.8</v>
      </c>
      <c r="K338" s="2">
        <v>167.3</v>
      </c>
      <c r="L338" s="2">
        <v>164.6</v>
      </c>
      <c r="M338" s="2">
        <v>119.1</v>
      </c>
      <c r="N338" s="2">
        <v>188.9</v>
      </c>
      <c r="O338" s="2">
        <v>174.2</v>
      </c>
      <c r="P338" s="2">
        <v>181.9</v>
      </c>
      <c r="Q338" s="2">
        <v>172.4</v>
      </c>
      <c r="R338" s="2">
        <v>192.9</v>
      </c>
      <c r="S338" s="2">
        <v>180.7</v>
      </c>
      <c r="T338" s="2">
        <v>178.7</v>
      </c>
      <c r="U338" s="2">
        <v>180.4</v>
      </c>
      <c r="V338" s="2">
        <f>VLOOKUP($A338,'Impute housing Missing Value'!$A$1:$C$125,3,0)</f>
        <v>166.8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</row>
    <row r="339" spans="1:31" ht="15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157.5</v>
      </c>
      <c r="F339" s="2">
        <v>223.4</v>
      </c>
      <c r="G339" s="2">
        <v>172.8</v>
      </c>
      <c r="H339" s="2">
        <v>166.4</v>
      </c>
      <c r="I339" s="2">
        <v>188.6</v>
      </c>
      <c r="J339" s="2">
        <v>174.1</v>
      </c>
      <c r="K339" s="2">
        <v>211.5</v>
      </c>
      <c r="L339" s="2">
        <v>163.6</v>
      </c>
      <c r="M339" s="2">
        <v>121.4</v>
      </c>
      <c r="N339" s="2">
        <v>183.5</v>
      </c>
      <c r="O339" s="2">
        <v>159.1</v>
      </c>
      <c r="P339" s="2">
        <v>186.3</v>
      </c>
      <c r="Q339" s="2">
        <v>179.3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</row>
    <row r="340" spans="1:31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155</v>
      </c>
      <c r="F340" s="2">
        <v>219.4</v>
      </c>
      <c r="G340" s="2">
        <v>170.8</v>
      </c>
      <c r="H340" s="2">
        <v>165.8</v>
      </c>
      <c r="I340" s="2">
        <v>200.9</v>
      </c>
      <c r="J340" s="2">
        <v>169.7</v>
      </c>
      <c r="K340" s="2">
        <v>182.3</v>
      </c>
      <c r="L340" s="2">
        <v>164.3</v>
      </c>
      <c r="M340" s="2">
        <v>119.9</v>
      </c>
      <c r="N340" s="2">
        <v>187.1</v>
      </c>
      <c r="O340" s="2">
        <v>167.9</v>
      </c>
      <c r="P340" s="2">
        <v>183.9</v>
      </c>
      <c r="Q340" s="2">
        <v>174.9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</row>
    <row r="341" spans="1:31" ht="15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155.19999999999999</v>
      </c>
      <c r="F341" s="2">
        <v>210.8</v>
      </c>
      <c r="G341" s="2">
        <v>174.3</v>
      </c>
      <c r="H341" s="2">
        <v>166.3</v>
      </c>
      <c r="I341" s="2">
        <v>202.2</v>
      </c>
      <c r="J341" s="2">
        <v>169.6</v>
      </c>
      <c r="K341" s="2">
        <v>168.6</v>
      </c>
      <c r="L341" s="2">
        <v>164.4</v>
      </c>
      <c r="M341" s="2">
        <v>119.2</v>
      </c>
      <c r="N341" s="2">
        <v>191.8</v>
      </c>
      <c r="O341" s="2">
        <v>174.5</v>
      </c>
      <c r="P341" s="2">
        <v>183.1</v>
      </c>
      <c r="Q341" s="2">
        <v>172.5</v>
      </c>
      <c r="R341" s="2">
        <v>193.2</v>
      </c>
      <c r="S341" s="2">
        <v>182</v>
      </c>
      <c r="T341" s="2">
        <v>180.3</v>
      </c>
      <c r="U341" s="2">
        <v>181.7</v>
      </c>
      <c r="V341" s="2">
        <f>VLOOKUP($A341,'Impute housing Missing Value'!$A$1:$C$125,3,0)</f>
        <v>167.8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</row>
    <row r="342" spans="1:31" ht="15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159.30000000000001</v>
      </c>
      <c r="F342" s="2">
        <v>217.1</v>
      </c>
      <c r="G342" s="2">
        <v>176.6</v>
      </c>
      <c r="H342" s="2">
        <v>167.1</v>
      </c>
      <c r="I342" s="2">
        <v>184.8</v>
      </c>
      <c r="J342" s="2">
        <v>179.5</v>
      </c>
      <c r="K342" s="2">
        <v>208.5</v>
      </c>
      <c r="L342" s="2">
        <v>164</v>
      </c>
      <c r="M342" s="2">
        <v>121.5</v>
      </c>
      <c r="N342" s="2">
        <v>186.3</v>
      </c>
      <c r="O342" s="2">
        <v>159.80000000000001</v>
      </c>
      <c r="P342" s="2">
        <v>187.7</v>
      </c>
      <c r="Q342" s="2">
        <v>179.4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</row>
    <row r="343" spans="1:31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156.5</v>
      </c>
      <c r="F343" s="2">
        <v>213</v>
      </c>
      <c r="G343" s="2">
        <v>175.2</v>
      </c>
      <c r="H343" s="2">
        <v>166.6</v>
      </c>
      <c r="I343" s="2">
        <v>195.8</v>
      </c>
      <c r="J343" s="2">
        <v>174.2</v>
      </c>
      <c r="K343" s="2">
        <v>182.1</v>
      </c>
      <c r="L343" s="2">
        <v>164.3</v>
      </c>
      <c r="M343" s="2">
        <v>120</v>
      </c>
      <c r="N343" s="2">
        <v>190</v>
      </c>
      <c r="O343" s="2">
        <v>168.4</v>
      </c>
      <c r="P343" s="2">
        <v>185.2</v>
      </c>
      <c r="Q343" s="2">
        <v>175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</row>
    <row r="344" spans="1:31" ht="15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159.5</v>
      </c>
      <c r="F344" s="2">
        <v>204.1</v>
      </c>
      <c r="G344" s="2">
        <v>168.3</v>
      </c>
      <c r="H344" s="2">
        <v>167.9</v>
      </c>
      <c r="I344" s="2">
        <v>198.1</v>
      </c>
      <c r="J344" s="2">
        <v>169.2</v>
      </c>
      <c r="K344" s="2">
        <v>173.1</v>
      </c>
      <c r="L344" s="2">
        <v>167.1</v>
      </c>
      <c r="M344" s="2">
        <v>120.2</v>
      </c>
      <c r="N344" s="2">
        <v>195.6</v>
      </c>
      <c r="O344" s="2">
        <v>174.8</v>
      </c>
      <c r="P344" s="2">
        <v>184</v>
      </c>
      <c r="Q344" s="2">
        <v>173.9</v>
      </c>
      <c r="R344" s="2">
        <v>193.7</v>
      </c>
      <c r="S344" s="2">
        <v>183.2</v>
      </c>
      <c r="T344" s="2">
        <v>181.7</v>
      </c>
      <c r="U344" s="2">
        <v>183</v>
      </c>
      <c r="V344" s="2">
        <f>VLOOKUP($A344,'Impute housing Missing Value'!$A$1:$C$125,3,0)</f>
        <v>169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</row>
    <row r="345" spans="1:31" ht="15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162.1</v>
      </c>
      <c r="F345" s="2">
        <v>210.9</v>
      </c>
      <c r="G345" s="2">
        <v>170.6</v>
      </c>
      <c r="H345" s="2">
        <v>168.4</v>
      </c>
      <c r="I345" s="2">
        <v>182.5</v>
      </c>
      <c r="J345" s="2">
        <v>177.1</v>
      </c>
      <c r="K345" s="2">
        <v>213.1</v>
      </c>
      <c r="L345" s="2">
        <v>167.3</v>
      </c>
      <c r="M345" s="2">
        <v>122.2</v>
      </c>
      <c r="N345" s="2">
        <v>189.7</v>
      </c>
      <c r="O345" s="2">
        <v>160.5</v>
      </c>
      <c r="P345" s="2">
        <v>188.9</v>
      </c>
      <c r="Q345" s="2">
        <v>180.4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</row>
    <row r="346" spans="1:31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160.30000000000001</v>
      </c>
      <c r="F346" s="2">
        <v>206.5</v>
      </c>
      <c r="G346" s="2">
        <v>169.2</v>
      </c>
      <c r="H346" s="2">
        <v>168.1</v>
      </c>
      <c r="I346" s="2">
        <v>192.4</v>
      </c>
      <c r="J346" s="2">
        <v>172.9</v>
      </c>
      <c r="K346" s="2">
        <v>186.7</v>
      </c>
      <c r="L346" s="2">
        <v>167.2</v>
      </c>
      <c r="M346" s="2">
        <v>120.9</v>
      </c>
      <c r="N346" s="2">
        <v>193.6</v>
      </c>
      <c r="O346" s="2">
        <v>168.8</v>
      </c>
      <c r="P346" s="2">
        <v>186.3</v>
      </c>
      <c r="Q346" s="2">
        <v>176.3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</row>
    <row r="347" spans="1:31" ht="26.5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162.9</v>
      </c>
      <c r="F347" s="2">
        <v>206.7</v>
      </c>
      <c r="G347" s="2">
        <v>169</v>
      </c>
      <c r="H347" s="2">
        <v>169.5</v>
      </c>
      <c r="I347" s="2">
        <v>194.1</v>
      </c>
      <c r="J347" s="2">
        <v>164.1</v>
      </c>
      <c r="K347" s="2">
        <v>176.9</v>
      </c>
      <c r="L347" s="2">
        <v>169</v>
      </c>
      <c r="M347" s="2">
        <v>120.8</v>
      </c>
      <c r="N347" s="2">
        <v>199.1</v>
      </c>
      <c r="O347" s="2">
        <v>175.4</v>
      </c>
      <c r="P347" s="2">
        <v>184.8</v>
      </c>
      <c r="Q347" s="2">
        <v>175.5</v>
      </c>
      <c r="R347" s="2">
        <v>194.5</v>
      </c>
      <c r="S347" s="2">
        <v>184.7</v>
      </c>
      <c r="T347" s="2">
        <v>183.3</v>
      </c>
      <c r="U347" s="2">
        <v>184.5</v>
      </c>
      <c r="V347" s="2">
        <f>VLOOKUP($A347,'Impute housing Missing Value'!$A$1:$C$125,3,0)</f>
        <v>169.5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</row>
    <row r="348" spans="1:31" ht="26.5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164.9</v>
      </c>
      <c r="F348" s="2">
        <v>213.7</v>
      </c>
      <c r="G348" s="2">
        <v>170.9</v>
      </c>
      <c r="H348" s="2">
        <v>170.1</v>
      </c>
      <c r="I348" s="2">
        <v>179.3</v>
      </c>
      <c r="J348" s="2">
        <v>167.5</v>
      </c>
      <c r="K348" s="2">
        <v>220.8</v>
      </c>
      <c r="L348" s="2">
        <v>169.2</v>
      </c>
      <c r="M348" s="2">
        <v>123.1</v>
      </c>
      <c r="N348" s="2">
        <v>193.6</v>
      </c>
      <c r="O348" s="2">
        <v>161.1</v>
      </c>
      <c r="P348" s="2">
        <v>190.4</v>
      </c>
      <c r="Q348" s="2">
        <v>181.8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</row>
    <row r="349" spans="1:31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163.5</v>
      </c>
      <c r="F349" s="2">
        <v>209.2</v>
      </c>
      <c r="G349" s="2">
        <v>169.7</v>
      </c>
      <c r="H349" s="2">
        <v>169.7</v>
      </c>
      <c r="I349" s="2">
        <v>188.7</v>
      </c>
      <c r="J349" s="2">
        <v>165.7</v>
      </c>
      <c r="K349" s="2">
        <v>191.8</v>
      </c>
      <c r="L349" s="2">
        <v>169.1</v>
      </c>
      <c r="M349" s="2">
        <v>121.6</v>
      </c>
      <c r="N349" s="2">
        <v>197.3</v>
      </c>
      <c r="O349" s="2">
        <v>169.4</v>
      </c>
      <c r="P349" s="2">
        <v>187.4</v>
      </c>
      <c r="Q349" s="2">
        <v>177.8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</row>
    <row r="350" spans="1:31" ht="15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164.7</v>
      </c>
      <c r="F350" s="2">
        <v>208.8</v>
      </c>
      <c r="G350" s="2">
        <v>170.3</v>
      </c>
      <c r="H350" s="2">
        <v>170.9</v>
      </c>
      <c r="I350" s="2">
        <v>191.6</v>
      </c>
      <c r="J350" s="2">
        <v>162.19999999999999</v>
      </c>
      <c r="K350" s="2">
        <v>184.8</v>
      </c>
      <c r="L350" s="2">
        <v>169.7</v>
      </c>
      <c r="M350" s="2">
        <v>121.1</v>
      </c>
      <c r="N350" s="2">
        <v>201.6</v>
      </c>
      <c r="O350" s="2">
        <v>175.8</v>
      </c>
      <c r="P350" s="2">
        <v>185.6</v>
      </c>
      <c r="Q350" s="2">
        <v>177.4</v>
      </c>
      <c r="R350" s="2">
        <v>194.9</v>
      </c>
      <c r="S350" s="2">
        <v>186.1</v>
      </c>
      <c r="T350" s="2">
        <v>184.4</v>
      </c>
      <c r="U350" s="2">
        <v>185.9</v>
      </c>
      <c r="V350" s="2">
        <f>VLOOKUP($A350,'Impute housing Missing Value'!$A$1:$C$125,3,0)</f>
        <v>171.2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</row>
    <row r="351" spans="1:31" ht="15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166.4</v>
      </c>
      <c r="F351" s="2">
        <v>214.9</v>
      </c>
      <c r="G351" s="2">
        <v>171.9</v>
      </c>
      <c r="H351" s="2">
        <v>171</v>
      </c>
      <c r="I351" s="2">
        <v>177.7</v>
      </c>
      <c r="J351" s="2">
        <v>165.7</v>
      </c>
      <c r="K351" s="2">
        <v>228.6</v>
      </c>
      <c r="L351" s="2">
        <v>169.9</v>
      </c>
      <c r="M351" s="2">
        <v>123.4</v>
      </c>
      <c r="N351" s="2">
        <v>196.4</v>
      </c>
      <c r="O351" s="2">
        <v>161.6</v>
      </c>
      <c r="P351" s="2">
        <v>191.5</v>
      </c>
      <c r="Q351" s="2">
        <v>183.3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</row>
    <row r="352" spans="1:31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165.2</v>
      </c>
      <c r="F352" s="2">
        <v>210.9</v>
      </c>
      <c r="G352" s="2">
        <v>170.9</v>
      </c>
      <c r="H352" s="2">
        <v>170.9</v>
      </c>
      <c r="I352" s="2">
        <v>186.5</v>
      </c>
      <c r="J352" s="2">
        <v>163.80000000000001</v>
      </c>
      <c r="K352" s="2">
        <v>199.7</v>
      </c>
      <c r="L352" s="2">
        <v>169.8</v>
      </c>
      <c r="M352" s="2">
        <v>121.9</v>
      </c>
      <c r="N352" s="2">
        <v>199.9</v>
      </c>
      <c r="O352" s="2">
        <v>169.9</v>
      </c>
      <c r="P352" s="2">
        <v>188.3</v>
      </c>
      <c r="Q352" s="2">
        <v>179.6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</row>
    <row r="353" spans="1:31" ht="26.5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166.9</v>
      </c>
      <c r="F353" s="2">
        <v>207.2</v>
      </c>
      <c r="G353" s="2">
        <v>180.2</v>
      </c>
      <c r="H353" s="2">
        <v>172.3</v>
      </c>
      <c r="I353" s="2">
        <v>194</v>
      </c>
      <c r="J353" s="2">
        <v>159.1</v>
      </c>
      <c r="K353" s="2">
        <v>171.6</v>
      </c>
      <c r="L353" s="2">
        <v>170.2</v>
      </c>
      <c r="M353" s="2">
        <v>121.5</v>
      </c>
      <c r="N353" s="2">
        <v>204.8</v>
      </c>
      <c r="O353" s="2">
        <v>176.4</v>
      </c>
      <c r="P353" s="2">
        <v>186.9</v>
      </c>
      <c r="Q353" s="2">
        <v>176.6</v>
      </c>
      <c r="R353" s="2">
        <v>195.5</v>
      </c>
      <c r="S353" s="2">
        <v>187.2</v>
      </c>
      <c r="T353" s="2">
        <v>185.2</v>
      </c>
      <c r="U353" s="2">
        <v>186.9</v>
      </c>
      <c r="V353" s="2">
        <f>VLOOKUP($A353,'Impute housing Missing Value'!$A$1:$C$125,3,0)</f>
        <v>171.8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</row>
    <row r="354" spans="1:31" ht="26.5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168.4</v>
      </c>
      <c r="F354" s="2">
        <v>213.4</v>
      </c>
      <c r="G354" s="2">
        <v>183.2</v>
      </c>
      <c r="H354" s="2">
        <v>172.3</v>
      </c>
      <c r="I354" s="2">
        <v>180</v>
      </c>
      <c r="J354" s="2">
        <v>162.6</v>
      </c>
      <c r="K354" s="2">
        <v>205.5</v>
      </c>
      <c r="L354" s="2">
        <v>171</v>
      </c>
      <c r="M354" s="2">
        <v>123.4</v>
      </c>
      <c r="N354" s="2">
        <v>198.8</v>
      </c>
      <c r="O354" s="2">
        <v>162.1</v>
      </c>
      <c r="P354" s="2">
        <v>192.4</v>
      </c>
      <c r="Q354" s="2">
        <v>181.3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</row>
    <row r="355" spans="1:31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167.4</v>
      </c>
      <c r="F355" s="2">
        <v>209.4</v>
      </c>
      <c r="G355" s="2">
        <v>181.4</v>
      </c>
      <c r="H355" s="2">
        <v>172.3</v>
      </c>
      <c r="I355" s="2">
        <v>188.9</v>
      </c>
      <c r="J355" s="2">
        <v>160.69999999999999</v>
      </c>
      <c r="K355" s="2">
        <v>183.1</v>
      </c>
      <c r="L355" s="2">
        <v>170.5</v>
      </c>
      <c r="M355" s="2">
        <v>122.1</v>
      </c>
      <c r="N355" s="2">
        <v>202.8</v>
      </c>
      <c r="O355" s="2">
        <v>170.4</v>
      </c>
      <c r="P355" s="2">
        <v>189.5</v>
      </c>
      <c r="Q355" s="2">
        <v>178.3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</row>
    <row r="356" spans="1:31" ht="26.5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168.8</v>
      </c>
      <c r="F356" s="2">
        <v>206.9</v>
      </c>
      <c r="G356" s="2">
        <v>189.1</v>
      </c>
      <c r="H356" s="2">
        <v>173.4</v>
      </c>
      <c r="I356" s="2">
        <v>193.9</v>
      </c>
      <c r="J356" s="2">
        <v>156.69999999999999</v>
      </c>
      <c r="K356" s="2">
        <v>150.19999999999999</v>
      </c>
      <c r="L356" s="2">
        <v>170.5</v>
      </c>
      <c r="M356" s="2">
        <v>121.2</v>
      </c>
      <c r="N356" s="2">
        <v>207.5</v>
      </c>
      <c r="O356" s="2">
        <v>176.8</v>
      </c>
      <c r="P356" s="2">
        <v>187.7</v>
      </c>
      <c r="Q356" s="2">
        <v>174.4</v>
      </c>
      <c r="R356" s="2">
        <v>195.9</v>
      </c>
      <c r="S356" s="2">
        <v>188.1</v>
      </c>
      <c r="T356" s="2">
        <v>185.9</v>
      </c>
      <c r="U356" s="2">
        <v>187.8</v>
      </c>
      <c r="V356" s="2">
        <f>VLOOKUP($A356,'Impute housing Missing Value'!$A$1:$C$125,3,0)</f>
        <v>170.7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</row>
    <row r="357" spans="1:31" ht="26.5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170.2</v>
      </c>
      <c r="F357" s="2">
        <v>212.9</v>
      </c>
      <c r="G357" s="2">
        <v>191.9</v>
      </c>
      <c r="H357" s="2">
        <v>173.9</v>
      </c>
      <c r="I357" s="2">
        <v>179.1</v>
      </c>
      <c r="J357" s="2">
        <v>159.5</v>
      </c>
      <c r="K357" s="2">
        <v>178.7</v>
      </c>
      <c r="L357" s="2">
        <v>171.3</v>
      </c>
      <c r="M357" s="2">
        <v>123.1</v>
      </c>
      <c r="N357" s="2">
        <v>200.5</v>
      </c>
      <c r="O357" s="2">
        <v>162.80000000000001</v>
      </c>
      <c r="P357" s="2">
        <v>193.3</v>
      </c>
      <c r="Q357" s="2">
        <v>178.6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</row>
    <row r="358" spans="1:31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169.2</v>
      </c>
      <c r="F358" s="2">
        <v>209</v>
      </c>
      <c r="G358" s="2">
        <v>190.2</v>
      </c>
      <c r="H358" s="2">
        <v>173.6</v>
      </c>
      <c r="I358" s="2">
        <v>188.5</v>
      </c>
      <c r="J358" s="2">
        <v>158</v>
      </c>
      <c r="K358" s="2">
        <v>159.9</v>
      </c>
      <c r="L358" s="2">
        <v>170.8</v>
      </c>
      <c r="M358" s="2">
        <v>121.8</v>
      </c>
      <c r="N358" s="2">
        <v>205.2</v>
      </c>
      <c r="O358" s="2">
        <v>171</v>
      </c>
      <c r="P358" s="2">
        <v>190.3</v>
      </c>
      <c r="Q358" s="2">
        <v>175.9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</row>
    <row r="359" spans="1:31" ht="15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174</v>
      </c>
      <c r="F359" s="2">
        <v>208.3</v>
      </c>
      <c r="G359" s="2">
        <v>192.9</v>
      </c>
      <c r="H359" s="2">
        <v>174.3</v>
      </c>
      <c r="I359" s="2">
        <v>192.6</v>
      </c>
      <c r="J359" s="2">
        <v>156.30000000000001</v>
      </c>
      <c r="K359" s="2">
        <v>142.9</v>
      </c>
      <c r="L359" s="2">
        <v>170.7</v>
      </c>
      <c r="M359" s="2">
        <v>120.3</v>
      </c>
      <c r="N359" s="2">
        <v>210.5</v>
      </c>
      <c r="O359" s="2">
        <v>176.9</v>
      </c>
      <c r="P359" s="2">
        <v>188.5</v>
      </c>
      <c r="Q359" s="2">
        <v>175</v>
      </c>
      <c r="R359" s="2">
        <v>196.9</v>
      </c>
      <c r="S359" s="2">
        <v>189</v>
      </c>
      <c r="T359" s="2">
        <v>186.3</v>
      </c>
      <c r="U359" s="2">
        <v>188.6</v>
      </c>
      <c r="V359" s="2">
        <f>VLOOKUP($A359,'Impute housing Missing Value'!$A$1:$C$125,3,0)</f>
        <v>172.1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</row>
    <row r="360" spans="1:31" ht="15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173.3</v>
      </c>
      <c r="F360" s="2">
        <v>215.2</v>
      </c>
      <c r="G360" s="2">
        <v>197</v>
      </c>
      <c r="H360" s="2">
        <v>175.2</v>
      </c>
      <c r="I360" s="2">
        <v>178</v>
      </c>
      <c r="J360" s="2">
        <v>160.5</v>
      </c>
      <c r="K360" s="2">
        <v>175.3</v>
      </c>
      <c r="L360" s="2">
        <v>171.2</v>
      </c>
      <c r="M360" s="2">
        <v>122.7</v>
      </c>
      <c r="N360" s="2">
        <v>204.3</v>
      </c>
      <c r="O360" s="2">
        <v>163.69999999999999</v>
      </c>
      <c r="P360" s="2">
        <v>194.3</v>
      </c>
      <c r="Q360" s="2">
        <v>179.5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</row>
    <row r="361" spans="1:31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173.8</v>
      </c>
      <c r="F361" s="2">
        <v>210.7</v>
      </c>
      <c r="G361" s="2">
        <v>194.5</v>
      </c>
      <c r="H361" s="2">
        <v>174.6</v>
      </c>
      <c r="I361" s="2">
        <v>187.2</v>
      </c>
      <c r="J361" s="2">
        <v>158.30000000000001</v>
      </c>
      <c r="K361" s="2">
        <v>153.9</v>
      </c>
      <c r="L361" s="2">
        <v>170.9</v>
      </c>
      <c r="M361" s="2">
        <v>121.1</v>
      </c>
      <c r="N361" s="2">
        <v>208.4</v>
      </c>
      <c r="O361" s="2">
        <v>171.4</v>
      </c>
      <c r="P361" s="2">
        <v>191.2</v>
      </c>
      <c r="Q361" s="2">
        <v>176.7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</row>
    <row r="362" spans="1:31" ht="15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174.2</v>
      </c>
      <c r="F362" s="2">
        <v>205.2</v>
      </c>
      <c r="G362" s="2">
        <v>173.9</v>
      </c>
      <c r="H362" s="2">
        <v>177</v>
      </c>
      <c r="I362" s="2">
        <v>183.4</v>
      </c>
      <c r="J362" s="2">
        <v>167.2</v>
      </c>
      <c r="K362" s="2">
        <v>140.9</v>
      </c>
      <c r="L362" s="2">
        <v>170.4</v>
      </c>
      <c r="M362" s="2">
        <v>119.1</v>
      </c>
      <c r="N362" s="2">
        <v>212.1</v>
      </c>
      <c r="O362" s="2">
        <v>177.6</v>
      </c>
      <c r="P362" s="2">
        <v>189.9</v>
      </c>
      <c r="Q362" s="2">
        <v>174.8</v>
      </c>
      <c r="R362" s="2">
        <v>198.3</v>
      </c>
      <c r="S362" s="2">
        <v>190</v>
      </c>
      <c r="T362" s="2">
        <v>187</v>
      </c>
      <c r="U362" s="2">
        <v>189.6</v>
      </c>
      <c r="V362" s="2">
        <f>VLOOKUP($A362,'Impute housing Missing Value'!$A$1:$C$125,3,0)</f>
        <v>173.5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</row>
    <row r="363" spans="1:31" ht="15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174.7</v>
      </c>
      <c r="F363" s="2">
        <v>212.2</v>
      </c>
      <c r="G363" s="2">
        <v>177.2</v>
      </c>
      <c r="H363" s="2">
        <v>177.9</v>
      </c>
      <c r="I363" s="2">
        <v>172.2</v>
      </c>
      <c r="J363" s="2">
        <v>172.1</v>
      </c>
      <c r="K363" s="2">
        <v>175.8</v>
      </c>
      <c r="L363" s="2">
        <v>172.2</v>
      </c>
      <c r="M363" s="2">
        <v>121.9</v>
      </c>
      <c r="N363" s="2">
        <v>204.8</v>
      </c>
      <c r="O363" s="2">
        <v>164.9</v>
      </c>
      <c r="P363" s="2">
        <v>196.6</v>
      </c>
      <c r="Q363" s="2">
        <v>180.7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</row>
    <row r="364" spans="1:31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174.4</v>
      </c>
      <c r="F364" s="2">
        <v>207.7</v>
      </c>
      <c r="G364" s="2">
        <v>175.2</v>
      </c>
      <c r="H364" s="2">
        <v>177.3</v>
      </c>
      <c r="I364" s="2">
        <v>179.3</v>
      </c>
      <c r="J364" s="2">
        <v>169.5</v>
      </c>
      <c r="K364" s="2">
        <v>152.69999999999999</v>
      </c>
      <c r="L364" s="2">
        <v>171</v>
      </c>
      <c r="M364" s="2">
        <v>120</v>
      </c>
      <c r="N364" s="2">
        <v>209.7</v>
      </c>
      <c r="O364" s="2">
        <v>172.3</v>
      </c>
      <c r="P364" s="2">
        <v>193</v>
      </c>
      <c r="Q364" s="2">
        <v>177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</row>
    <row r="365" spans="1:31" ht="15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174.3</v>
      </c>
      <c r="F365" s="2">
        <v>205.2</v>
      </c>
      <c r="G365" s="2">
        <v>173.9</v>
      </c>
      <c r="H365" s="2">
        <v>177</v>
      </c>
      <c r="I365" s="2">
        <v>183.3</v>
      </c>
      <c r="J365" s="2">
        <v>167.2</v>
      </c>
      <c r="K365" s="2">
        <v>140.9</v>
      </c>
      <c r="L365" s="2">
        <v>170.5</v>
      </c>
      <c r="M365" s="2">
        <v>119.1</v>
      </c>
      <c r="N365" s="2">
        <v>212.1</v>
      </c>
      <c r="O365" s="2">
        <v>177.6</v>
      </c>
      <c r="P365" s="2">
        <v>189.9</v>
      </c>
      <c r="Q365" s="2">
        <v>174.8</v>
      </c>
      <c r="R365" s="2">
        <v>198.4</v>
      </c>
      <c r="S365" s="2">
        <v>190</v>
      </c>
      <c r="T365" s="2">
        <v>187</v>
      </c>
      <c r="U365" s="2">
        <v>189.6</v>
      </c>
      <c r="V365" s="2">
        <f>VLOOKUP($A365,'Impute housing Missing Value'!$A$1:$C$125,3,0)</f>
        <v>173.5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</row>
    <row r="366" spans="1:31" ht="15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174.7</v>
      </c>
      <c r="F366" s="2">
        <v>212.2</v>
      </c>
      <c r="G366" s="2">
        <v>177.2</v>
      </c>
      <c r="H366" s="2">
        <v>177.9</v>
      </c>
      <c r="I366" s="2">
        <v>172.2</v>
      </c>
      <c r="J366" s="2">
        <v>172.1</v>
      </c>
      <c r="K366" s="2">
        <v>175.9</v>
      </c>
      <c r="L366" s="2">
        <v>172.2</v>
      </c>
      <c r="M366" s="2">
        <v>121.9</v>
      </c>
      <c r="N366" s="2">
        <v>204.8</v>
      </c>
      <c r="O366" s="2">
        <v>164.9</v>
      </c>
      <c r="P366" s="2">
        <v>196.6</v>
      </c>
      <c r="Q366" s="2">
        <v>180.8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</row>
    <row r="367" spans="1:31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174.4</v>
      </c>
      <c r="F367" s="2">
        <v>207.7</v>
      </c>
      <c r="G367" s="2">
        <v>175.2</v>
      </c>
      <c r="H367" s="2">
        <v>177.3</v>
      </c>
      <c r="I367" s="2">
        <v>179.2</v>
      </c>
      <c r="J367" s="2">
        <v>169.5</v>
      </c>
      <c r="K367" s="2">
        <v>152.80000000000001</v>
      </c>
      <c r="L367" s="2">
        <v>171.1</v>
      </c>
      <c r="M367" s="2">
        <v>120</v>
      </c>
      <c r="N367" s="2">
        <v>209.7</v>
      </c>
      <c r="O367" s="2">
        <v>172.3</v>
      </c>
      <c r="P367" s="2">
        <v>193</v>
      </c>
      <c r="Q367" s="2">
        <v>177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</row>
    <row r="368" spans="1:31" ht="15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173.3</v>
      </c>
      <c r="F368" s="2">
        <v>206.9</v>
      </c>
      <c r="G368" s="2">
        <v>167.9</v>
      </c>
      <c r="H368" s="2">
        <v>178.2</v>
      </c>
      <c r="I368" s="2">
        <v>178.5</v>
      </c>
      <c r="J368" s="2">
        <v>173.7</v>
      </c>
      <c r="K368" s="2">
        <v>142.80000000000001</v>
      </c>
      <c r="L368" s="2">
        <v>172.8</v>
      </c>
      <c r="M368" s="2">
        <v>120.4</v>
      </c>
      <c r="N368" s="2">
        <v>215.5</v>
      </c>
      <c r="O368" s="2">
        <v>178.2</v>
      </c>
      <c r="P368" s="2">
        <v>190.5</v>
      </c>
      <c r="Q368" s="2">
        <v>175.5</v>
      </c>
      <c r="R368" s="2">
        <v>199.5</v>
      </c>
      <c r="S368" s="2">
        <v>190.7</v>
      </c>
      <c r="T368" s="2">
        <v>187.3</v>
      </c>
      <c r="U368" s="2">
        <v>190.2</v>
      </c>
      <c r="V368" s="2">
        <f>VLOOKUP($A368,'Impute housing Missing Value'!$A$1:$C$125,3,0)</f>
        <v>175.2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</row>
    <row r="369" spans="1:31" ht="15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174.8</v>
      </c>
      <c r="F369" s="2">
        <v>213.7</v>
      </c>
      <c r="G369" s="2">
        <v>172.4</v>
      </c>
      <c r="H369" s="2">
        <v>178.8</v>
      </c>
      <c r="I369" s="2">
        <v>168.7</v>
      </c>
      <c r="J369" s="2">
        <v>179.2</v>
      </c>
      <c r="K369" s="2">
        <v>179.9</v>
      </c>
      <c r="L369" s="2">
        <v>174.7</v>
      </c>
      <c r="M369" s="2">
        <v>123.1</v>
      </c>
      <c r="N369" s="2">
        <v>207.8</v>
      </c>
      <c r="O369" s="2">
        <v>165.5</v>
      </c>
      <c r="P369" s="2">
        <v>197</v>
      </c>
      <c r="Q369" s="2">
        <v>182.1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</row>
    <row r="370" spans="1:31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173.8</v>
      </c>
      <c r="F370" s="2">
        <v>209.3</v>
      </c>
      <c r="G370" s="2">
        <v>169.6</v>
      </c>
      <c r="H370" s="2">
        <v>178.4</v>
      </c>
      <c r="I370" s="2">
        <v>174.9</v>
      </c>
      <c r="J370" s="2">
        <v>176.3</v>
      </c>
      <c r="K370" s="2">
        <v>155.4</v>
      </c>
      <c r="L370" s="2">
        <v>173.4</v>
      </c>
      <c r="M370" s="2">
        <v>121.3</v>
      </c>
      <c r="N370" s="2">
        <v>212.9</v>
      </c>
      <c r="O370" s="2">
        <v>172.9</v>
      </c>
      <c r="P370" s="2">
        <v>193.5</v>
      </c>
      <c r="Q370" s="2">
        <v>177.9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</row>
    <row r="371" spans="1:31" ht="15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173.2</v>
      </c>
      <c r="F371" s="2">
        <v>211.5</v>
      </c>
      <c r="G371" s="2">
        <v>171</v>
      </c>
      <c r="H371" s="2">
        <v>179.6</v>
      </c>
      <c r="I371" s="2">
        <v>173.3</v>
      </c>
      <c r="J371" s="2">
        <v>169</v>
      </c>
      <c r="K371" s="2">
        <v>148.69999999999999</v>
      </c>
      <c r="L371" s="2">
        <v>174.9</v>
      </c>
      <c r="M371" s="2">
        <v>121.9</v>
      </c>
      <c r="N371" s="2">
        <v>221</v>
      </c>
      <c r="O371" s="2">
        <v>178.7</v>
      </c>
      <c r="P371" s="2">
        <v>191.1</v>
      </c>
      <c r="Q371" s="2">
        <v>176.8</v>
      </c>
      <c r="R371" s="2">
        <v>199.9</v>
      </c>
      <c r="S371" s="2">
        <v>191.2</v>
      </c>
      <c r="T371" s="2">
        <v>187.9</v>
      </c>
      <c r="U371" s="2">
        <v>190.8</v>
      </c>
      <c r="V371" s="2">
        <f>VLOOKUP($A371,'Impute housing Missing Value'!$A$1:$C$125,3,0)</f>
        <v>175.6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</row>
    <row r="372" spans="1:31" ht="15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174.7</v>
      </c>
      <c r="F372" s="2">
        <v>219.4</v>
      </c>
      <c r="G372" s="2">
        <v>176.7</v>
      </c>
      <c r="H372" s="2">
        <v>179.4</v>
      </c>
      <c r="I372" s="2">
        <v>164.4</v>
      </c>
      <c r="J372" s="2">
        <v>175.8</v>
      </c>
      <c r="K372" s="2">
        <v>185</v>
      </c>
      <c r="L372" s="2">
        <v>176.9</v>
      </c>
      <c r="M372" s="2">
        <v>124.2</v>
      </c>
      <c r="N372" s="2">
        <v>211.9</v>
      </c>
      <c r="O372" s="2">
        <v>165.9</v>
      </c>
      <c r="P372" s="2">
        <v>197.7</v>
      </c>
      <c r="Q372" s="2">
        <v>183.1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</row>
    <row r="373" spans="1:31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173.7</v>
      </c>
      <c r="F373" s="2">
        <v>214.3</v>
      </c>
      <c r="G373" s="2">
        <v>173.2</v>
      </c>
      <c r="H373" s="2">
        <v>179.5</v>
      </c>
      <c r="I373" s="2">
        <v>170</v>
      </c>
      <c r="J373" s="2">
        <v>172.2</v>
      </c>
      <c r="K373" s="2">
        <v>161</v>
      </c>
      <c r="L373" s="2">
        <v>175.6</v>
      </c>
      <c r="M373" s="2">
        <v>122.7</v>
      </c>
      <c r="N373" s="2">
        <v>218</v>
      </c>
      <c r="O373" s="2">
        <v>173.4</v>
      </c>
      <c r="P373" s="2">
        <v>194.2</v>
      </c>
      <c r="Q373" s="2">
        <v>179.1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</row>
  </sheetData>
  <autoFilter ref="B1:AE373" xr:uid="{C37219BF-25F2-4919-BDEB-7DB323AF8922}"/>
  <pageMargins left="0.7" right="0.7" top="0.75" bottom="0.75" header="0.3" footer="0.3"/>
  <pageSetup orientation="portrait" r:id="rId1"/>
  <ignoredErrors>
    <ignoredError sqref="F263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8D578-456A-42DE-953F-5BAC1E7C3C06}">
  <dimension ref="A1:AM375"/>
  <sheetViews>
    <sheetView zoomScale="85" zoomScaleNormal="85" workbookViewId="0">
      <selection activeCell="AG372" sqref="AG372"/>
    </sheetView>
  </sheetViews>
  <sheetFormatPr defaultRowHeight="14.5" x14ac:dyDescent="0.35"/>
  <cols>
    <col min="34" max="34" width="14" customWidth="1"/>
    <col min="36" max="36" width="10.1796875" customWidth="1"/>
  </cols>
  <sheetData>
    <row r="1" spans="1:37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  <c r="AG1" s="21" t="s">
        <v>52</v>
      </c>
      <c r="AH1" s="21" t="s">
        <v>16</v>
      </c>
      <c r="AI1" s="22" t="s">
        <v>49</v>
      </c>
      <c r="AJ1" s="21" t="s">
        <v>19</v>
      </c>
      <c r="AK1" s="21" t="s">
        <v>50</v>
      </c>
    </row>
    <row r="2" spans="1:37" ht="15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107.5</v>
      </c>
      <c r="F2" s="11">
        <v>106.3</v>
      </c>
      <c r="G2" s="11">
        <v>108.1</v>
      </c>
      <c r="H2" s="11">
        <v>104.9</v>
      </c>
      <c r="I2" s="11">
        <v>106.1</v>
      </c>
      <c r="J2" s="11">
        <v>103.9</v>
      </c>
      <c r="K2" s="11">
        <v>101.9</v>
      </c>
      <c r="L2" s="11">
        <v>106.1</v>
      </c>
      <c r="M2" s="11">
        <v>106.8</v>
      </c>
      <c r="N2" s="11">
        <v>103.1</v>
      </c>
      <c r="O2" s="11">
        <v>104.8</v>
      </c>
      <c r="P2" s="11">
        <v>106.7</v>
      </c>
      <c r="Q2" s="11">
        <v>105.5</v>
      </c>
      <c r="R2" s="11">
        <v>105.1</v>
      </c>
      <c r="S2" s="11">
        <v>106.5</v>
      </c>
      <c r="T2" s="11">
        <v>105.8</v>
      </c>
      <c r="U2" s="11">
        <v>106.4</v>
      </c>
      <c r="V2" s="11">
        <f>VLOOKUP($A2,'Impute housing Missing Value'!$A$1:$C$125,3,0)</f>
        <v>100.3</v>
      </c>
      <c r="W2" s="11">
        <v>105.5</v>
      </c>
      <c r="X2" s="11">
        <v>104.8</v>
      </c>
      <c r="Y2" s="11">
        <v>104</v>
      </c>
      <c r="Z2" s="11">
        <v>103.3</v>
      </c>
      <c r="AA2" s="11">
        <v>103.4</v>
      </c>
      <c r="AB2" s="11">
        <v>103.8</v>
      </c>
      <c r="AC2" s="11">
        <v>104.7</v>
      </c>
      <c r="AD2" s="11">
        <v>104</v>
      </c>
      <c r="AE2" s="11">
        <v>105.1</v>
      </c>
      <c r="AG2" s="20">
        <f>AVERAGE(E2:Q2)</f>
        <v>105.5153846153846</v>
      </c>
      <c r="AH2" s="11">
        <v>105.1</v>
      </c>
      <c r="AI2" s="20">
        <f>AVERAGE(V2:X2)</f>
        <v>103.53333333333335</v>
      </c>
      <c r="AJ2" s="20">
        <f>AVERAGE(S2:U2)</f>
        <v>106.23333333333335</v>
      </c>
      <c r="AK2" s="20">
        <f>AVERAGE(Y2:AD2)</f>
        <v>103.86666666666667</v>
      </c>
    </row>
    <row r="3" spans="1:37" ht="15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110.5</v>
      </c>
      <c r="F3" s="2">
        <v>109.1</v>
      </c>
      <c r="G3" s="2">
        <v>113</v>
      </c>
      <c r="H3" s="2">
        <v>103.6</v>
      </c>
      <c r="I3" s="2">
        <v>103.4</v>
      </c>
      <c r="J3" s="2">
        <v>102.3</v>
      </c>
      <c r="K3" s="2">
        <v>102.9</v>
      </c>
      <c r="L3" s="2">
        <v>105.8</v>
      </c>
      <c r="M3" s="2">
        <v>105.1</v>
      </c>
      <c r="N3" s="2">
        <v>101.8</v>
      </c>
      <c r="O3" s="2">
        <v>105.1</v>
      </c>
      <c r="P3" s="2">
        <v>107.9</v>
      </c>
      <c r="Q3" s="2">
        <v>105.9</v>
      </c>
      <c r="R3" s="2">
        <v>105.2</v>
      </c>
      <c r="S3" s="2">
        <v>105.9</v>
      </c>
      <c r="T3" s="2">
        <v>105</v>
      </c>
      <c r="U3" s="2">
        <v>105.8</v>
      </c>
      <c r="V3" s="2">
        <v>100.4</v>
      </c>
      <c r="W3" s="2">
        <v>105.4</v>
      </c>
      <c r="X3" s="2">
        <v>104.8</v>
      </c>
      <c r="Y3" s="2">
        <v>104.1</v>
      </c>
      <c r="Z3" s="2">
        <v>103.2</v>
      </c>
      <c r="AA3" s="2">
        <v>102.9</v>
      </c>
      <c r="AB3" s="2">
        <v>103.5</v>
      </c>
      <c r="AC3" s="2">
        <v>104.3</v>
      </c>
      <c r="AD3" s="2">
        <v>103.7</v>
      </c>
      <c r="AE3" s="2">
        <v>104</v>
      </c>
      <c r="AG3" s="20">
        <f t="shared" ref="AG3:AG66" si="0">AVERAGE(E3:Q3)</f>
        <v>105.87692307692308</v>
      </c>
      <c r="AH3" s="2">
        <v>105.2</v>
      </c>
      <c r="AI3" s="20">
        <f t="shared" ref="AI3:AI66" si="1">AVERAGE(V3:X3)</f>
        <v>103.53333333333335</v>
      </c>
      <c r="AJ3" s="20">
        <f t="shared" ref="AJ3:AJ66" si="2">AVERAGE(S3:U3)</f>
        <v>105.56666666666666</v>
      </c>
      <c r="AK3" s="20">
        <f t="shared" ref="AK3:AK66" si="3">AVERAGE(Y3:AD3)</f>
        <v>103.61666666666667</v>
      </c>
    </row>
    <row r="4" spans="1:37" ht="26.5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108.4</v>
      </c>
      <c r="F4" s="2">
        <v>107.3</v>
      </c>
      <c r="G4" s="2">
        <v>110</v>
      </c>
      <c r="H4" s="2">
        <v>104.4</v>
      </c>
      <c r="I4" s="2">
        <v>105.1</v>
      </c>
      <c r="J4" s="2">
        <v>103.2</v>
      </c>
      <c r="K4" s="2">
        <v>102.2</v>
      </c>
      <c r="L4" s="2">
        <v>106</v>
      </c>
      <c r="M4" s="2">
        <v>106.2</v>
      </c>
      <c r="N4" s="2">
        <v>102.7</v>
      </c>
      <c r="O4" s="2">
        <v>104.9</v>
      </c>
      <c r="P4" s="2">
        <v>107.3</v>
      </c>
      <c r="Q4" s="2">
        <v>105.6</v>
      </c>
      <c r="R4" s="2">
        <v>105.1</v>
      </c>
      <c r="S4" s="2">
        <v>106.3</v>
      </c>
      <c r="T4" s="2">
        <v>105.5</v>
      </c>
      <c r="U4" s="2">
        <v>106.2</v>
      </c>
      <c r="V4" s="2">
        <v>100.4</v>
      </c>
      <c r="W4" s="2">
        <v>105.5</v>
      </c>
      <c r="X4" s="2">
        <v>104.8</v>
      </c>
      <c r="Y4" s="2">
        <v>104</v>
      </c>
      <c r="Z4" s="2">
        <v>103.2</v>
      </c>
      <c r="AA4" s="2">
        <v>103.1</v>
      </c>
      <c r="AB4" s="2">
        <v>103.6</v>
      </c>
      <c r="AC4" s="2">
        <v>104.5</v>
      </c>
      <c r="AD4" s="2">
        <v>103.9</v>
      </c>
      <c r="AE4" s="2">
        <v>104.6</v>
      </c>
      <c r="AG4" s="20">
        <f t="shared" si="0"/>
        <v>105.63846153846156</v>
      </c>
      <c r="AH4" s="2">
        <v>105.1</v>
      </c>
      <c r="AI4" s="20">
        <f t="shared" si="1"/>
        <v>103.56666666666666</v>
      </c>
      <c r="AJ4" s="20">
        <f t="shared" si="2"/>
        <v>106</v>
      </c>
      <c r="AK4" s="20">
        <f t="shared" si="3"/>
        <v>103.71666666666665</v>
      </c>
    </row>
    <row r="5" spans="1:37" ht="15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109.2</v>
      </c>
      <c r="F5" s="2">
        <v>108.7</v>
      </c>
      <c r="G5" s="2">
        <v>110.2</v>
      </c>
      <c r="H5" s="2">
        <v>105.4</v>
      </c>
      <c r="I5" s="2">
        <v>106.7</v>
      </c>
      <c r="J5" s="2">
        <v>104</v>
      </c>
      <c r="K5" s="2">
        <v>102.4</v>
      </c>
      <c r="L5" s="2">
        <v>105.9</v>
      </c>
      <c r="M5" s="2">
        <v>105.7</v>
      </c>
      <c r="N5" s="2">
        <v>103.1</v>
      </c>
      <c r="O5" s="2">
        <v>105.1</v>
      </c>
      <c r="P5" s="2">
        <v>107.7</v>
      </c>
      <c r="Q5" s="2">
        <v>106.3</v>
      </c>
      <c r="R5" s="2">
        <v>105.6</v>
      </c>
      <c r="S5" s="2">
        <v>107.1</v>
      </c>
      <c r="T5" s="2">
        <v>106.3</v>
      </c>
      <c r="U5" s="2">
        <v>107</v>
      </c>
      <c r="V5" s="2">
        <f>VLOOKUP($A5,'Impute housing Missing Value'!$A$1:$C$125,3,0)</f>
        <v>100.4</v>
      </c>
      <c r="W5" s="2">
        <v>106.2</v>
      </c>
      <c r="X5" s="2">
        <v>105.2</v>
      </c>
      <c r="Y5" s="2">
        <v>104.4</v>
      </c>
      <c r="Z5" s="2">
        <v>103.9</v>
      </c>
      <c r="AA5" s="2">
        <v>104</v>
      </c>
      <c r="AB5" s="2">
        <v>104.1</v>
      </c>
      <c r="AC5" s="2">
        <v>104.6</v>
      </c>
      <c r="AD5" s="2">
        <v>104.4</v>
      </c>
      <c r="AE5" s="2">
        <v>105.8</v>
      </c>
      <c r="AG5" s="20">
        <f t="shared" si="0"/>
        <v>106.18461538461537</v>
      </c>
      <c r="AH5" s="2">
        <v>105.6</v>
      </c>
      <c r="AI5" s="20">
        <f t="shared" si="1"/>
        <v>103.93333333333334</v>
      </c>
      <c r="AJ5" s="20">
        <f t="shared" si="2"/>
        <v>106.8</v>
      </c>
      <c r="AK5" s="20">
        <f t="shared" si="3"/>
        <v>104.23333333333333</v>
      </c>
    </row>
    <row r="6" spans="1:37" ht="15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112.9</v>
      </c>
      <c r="F6" s="2">
        <v>112.9</v>
      </c>
      <c r="G6" s="2">
        <v>116.9</v>
      </c>
      <c r="H6" s="2">
        <v>104</v>
      </c>
      <c r="I6" s="2">
        <v>103.5</v>
      </c>
      <c r="J6" s="2">
        <v>103.1</v>
      </c>
      <c r="K6" s="2">
        <v>104.9</v>
      </c>
      <c r="L6" s="2">
        <v>104.1</v>
      </c>
      <c r="M6" s="2">
        <v>103.8</v>
      </c>
      <c r="N6" s="2">
        <v>102.3</v>
      </c>
      <c r="O6" s="2">
        <v>106</v>
      </c>
      <c r="P6" s="2">
        <v>109</v>
      </c>
      <c r="Q6" s="2">
        <v>107.2</v>
      </c>
      <c r="R6" s="2">
        <v>106</v>
      </c>
      <c r="S6" s="2">
        <v>106.6</v>
      </c>
      <c r="T6" s="2">
        <v>105.5</v>
      </c>
      <c r="U6" s="2">
        <v>106.4</v>
      </c>
      <c r="V6" s="2">
        <v>100.4</v>
      </c>
      <c r="W6" s="2">
        <v>105.7</v>
      </c>
      <c r="X6" s="2">
        <v>105.2</v>
      </c>
      <c r="Y6" s="2">
        <v>104.7</v>
      </c>
      <c r="Z6" s="2">
        <v>104.4</v>
      </c>
      <c r="AA6" s="2">
        <v>103.3</v>
      </c>
      <c r="AB6" s="2">
        <v>103.7</v>
      </c>
      <c r="AC6" s="2">
        <v>104.3</v>
      </c>
      <c r="AD6" s="2">
        <v>104.3</v>
      </c>
      <c r="AE6" s="2">
        <v>104.7</v>
      </c>
      <c r="AG6" s="20">
        <f t="shared" si="0"/>
        <v>106.96923076923078</v>
      </c>
      <c r="AH6" s="2">
        <v>106</v>
      </c>
      <c r="AI6" s="20">
        <f t="shared" si="1"/>
        <v>103.76666666666667</v>
      </c>
      <c r="AJ6" s="20">
        <f t="shared" si="2"/>
        <v>106.16666666666667</v>
      </c>
      <c r="AK6" s="20">
        <f t="shared" si="3"/>
        <v>104.11666666666666</v>
      </c>
    </row>
    <row r="7" spans="1:37" ht="26.5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110.4</v>
      </c>
      <c r="F7" s="2">
        <v>110.2</v>
      </c>
      <c r="G7" s="2">
        <v>112.8</v>
      </c>
      <c r="H7" s="2">
        <v>104.9</v>
      </c>
      <c r="I7" s="2">
        <v>105.5</v>
      </c>
      <c r="J7" s="2">
        <v>103.6</v>
      </c>
      <c r="K7" s="2">
        <v>103.2</v>
      </c>
      <c r="L7" s="2">
        <v>105.3</v>
      </c>
      <c r="M7" s="2">
        <v>105.1</v>
      </c>
      <c r="N7" s="2">
        <v>102.8</v>
      </c>
      <c r="O7" s="2">
        <v>105.5</v>
      </c>
      <c r="P7" s="2">
        <v>108.3</v>
      </c>
      <c r="Q7" s="2">
        <v>106.6</v>
      </c>
      <c r="R7" s="2">
        <v>105.7</v>
      </c>
      <c r="S7" s="2">
        <v>106.9</v>
      </c>
      <c r="T7" s="2">
        <v>106</v>
      </c>
      <c r="U7" s="2">
        <v>106.8</v>
      </c>
      <c r="V7" s="2">
        <v>100.4</v>
      </c>
      <c r="W7" s="2">
        <v>106</v>
      </c>
      <c r="X7" s="2">
        <v>105.2</v>
      </c>
      <c r="Y7" s="2">
        <v>104.5</v>
      </c>
      <c r="Z7" s="2">
        <v>104.2</v>
      </c>
      <c r="AA7" s="2">
        <v>103.6</v>
      </c>
      <c r="AB7" s="2">
        <v>103.9</v>
      </c>
      <c r="AC7" s="2">
        <v>104.5</v>
      </c>
      <c r="AD7" s="2">
        <v>104.4</v>
      </c>
      <c r="AE7" s="2">
        <v>105.3</v>
      </c>
      <c r="AG7" s="20">
        <f t="shared" si="0"/>
        <v>106.47692307692309</v>
      </c>
      <c r="AH7" s="2">
        <v>105.7</v>
      </c>
      <c r="AI7" s="20">
        <f t="shared" si="1"/>
        <v>103.86666666666667</v>
      </c>
      <c r="AJ7" s="20">
        <f t="shared" si="2"/>
        <v>106.56666666666666</v>
      </c>
      <c r="AK7" s="20">
        <f t="shared" si="3"/>
        <v>104.18333333333332</v>
      </c>
    </row>
    <row r="8" spans="1:37" ht="15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110.2</v>
      </c>
      <c r="F8" s="2">
        <v>108.8</v>
      </c>
      <c r="G8" s="2">
        <v>109.9</v>
      </c>
      <c r="H8" s="2">
        <v>105.6</v>
      </c>
      <c r="I8" s="2">
        <v>106.2</v>
      </c>
      <c r="J8" s="2">
        <v>105.7</v>
      </c>
      <c r="K8" s="2">
        <v>101.4</v>
      </c>
      <c r="L8" s="2">
        <v>105.7</v>
      </c>
      <c r="M8" s="2">
        <v>105</v>
      </c>
      <c r="N8" s="2">
        <v>103.3</v>
      </c>
      <c r="O8" s="2">
        <v>105.6</v>
      </c>
      <c r="P8" s="2">
        <v>108.2</v>
      </c>
      <c r="Q8" s="2">
        <v>106.6</v>
      </c>
      <c r="R8" s="2">
        <v>106.5</v>
      </c>
      <c r="S8" s="2">
        <v>107.6</v>
      </c>
      <c r="T8" s="2">
        <v>106.8</v>
      </c>
      <c r="U8" s="2">
        <v>107.5</v>
      </c>
      <c r="V8" s="2">
        <f>VLOOKUP($A8,'Impute housing Missing Value'!$A$1:$C$125,3,0)</f>
        <v>100.4</v>
      </c>
      <c r="W8" s="2">
        <v>106.1</v>
      </c>
      <c r="X8" s="2">
        <v>105.6</v>
      </c>
      <c r="Y8" s="2">
        <v>104.7</v>
      </c>
      <c r="Z8" s="2">
        <v>104.6</v>
      </c>
      <c r="AA8" s="2">
        <v>104</v>
      </c>
      <c r="AB8" s="2">
        <v>104.3</v>
      </c>
      <c r="AC8" s="2">
        <v>104.3</v>
      </c>
      <c r="AD8" s="2">
        <v>104.6</v>
      </c>
      <c r="AE8" s="2">
        <v>106</v>
      </c>
      <c r="AG8" s="20">
        <f t="shared" si="0"/>
        <v>106.32307692307693</v>
      </c>
      <c r="AH8" s="2">
        <v>106.5</v>
      </c>
      <c r="AI8" s="20">
        <f t="shared" si="1"/>
        <v>104.03333333333335</v>
      </c>
      <c r="AJ8" s="20">
        <f t="shared" si="2"/>
        <v>107.3</v>
      </c>
      <c r="AK8" s="20">
        <f t="shared" si="3"/>
        <v>104.41666666666667</v>
      </c>
    </row>
    <row r="9" spans="1:37" ht="15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113.9</v>
      </c>
      <c r="F9" s="2">
        <v>111.4</v>
      </c>
      <c r="G9" s="2">
        <v>113.2</v>
      </c>
      <c r="H9" s="2">
        <v>104.3</v>
      </c>
      <c r="I9" s="2">
        <v>102.7</v>
      </c>
      <c r="J9" s="2">
        <v>104.9</v>
      </c>
      <c r="K9" s="2">
        <v>103.8</v>
      </c>
      <c r="L9" s="2">
        <v>103.5</v>
      </c>
      <c r="M9" s="2">
        <v>102.6</v>
      </c>
      <c r="N9" s="2">
        <v>102.4</v>
      </c>
      <c r="O9" s="2">
        <v>107</v>
      </c>
      <c r="P9" s="2">
        <v>109.8</v>
      </c>
      <c r="Q9" s="2">
        <v>107.3</v>
      </c>
      <c r="R9" s="2">
        <v>106.8</v>
      </c>
      <c r="S9" s="2">
        <v>107.2</v>
      </c>
      <c r="T9" s="2">
        <v>106</v>
      </c>
      <c r="U9" s="2">
        <v>107</v>
      </c>
      <c r="V9" s="2">
        <v>100.4</v>
      </c>
      <c r="W9" s="2">
        <v>106</v>
      </c>
      <c r="X9" s="2">
        <v>105.7</v>
      </c>
      <c r="Y9" s="2">
        <v>105.2</v>
      </c>
      <c r="Z9" s="2">
        <v>105.5</v>
      </c>
      <c r="AA9" s="2">
        <v>103.5</v>
      </c>
      <c r="AB9" s="2">
        <v>103.8</v>
      </c>
      <c r="AC9" s="2">
        <v>104.2</v>
      </c>
      <c r="AD9" s="2">
        <v>104.9</v>
      </c>
      <c r="AE9" s="2">
        <v>105</v>
      </c>
      <c r="AG9" s="20">
        <f t="shared" si="0"/>
        <v>106.67692307692307</v>
      </c>
      <c r="AH9" s="2">
        <v>106.8</v>
      </c>
      <c r="AI9" s="20">
        <f t="shared" si="1"/>
        <v>104.03333333333335</v>
      </c>
      <c r="AJ9" s="20">
        <f t="shared" si="2"/>
        <v>106.73333333333333</v>
      </c>
      <c r="AK9" s="20">
        <f t="shared" si="3"/>
        <v>104.51666666666667</v>
      </c>
    </row>
    <row r="10" spans="1:37" ht="26.5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111.4</v>
      </c>
      <c r="F10" s="2">
        <v>109.7</v>
      </c>
      <c r="G10" s="2">
        <v>111.2</v>
      </c>
      <c r="H10" s="2">
        <v>105.1</v>
      </c>
      <c r="I10" s="2">
        <v>104.9</v>
      </c>
      <c r="J10" s="2">
        <v>105.3</v>
      </c>
      <c r="K10" s="2">
        <v>102.2</v>
      </c>
      <c r="L10" s="2">
        <v>105</v>
      </c>
      <c r="M10" s="2">
        <v>104.2</v>
      </c>
      <c r="N10" s="2">
        <v>103</v>
      </c>
      <c r="O10" s="2">
        <v>106.2</v>
      </c>
      <c r="P10" s="2">
        <v>108.9</v>
      </c>
      <c r="Q10" s="2">
        <v>106.9</v>
      </c>
      <c r="R10" s="2">
        <v>106.6</v>
      </c>
      <c r="S10" s="2">
        <v>107.4</v>
      </c>
      <c r="T10" s="2">
        <v>106.5</v>
      </c>
      <c r="U10" s="2">
        <v>107.3</v>
      </c>
      <c r="V10" s="2">
        <v>100.4</v>
      </c>
      <c r="W10" s="2">
        <v>106.1</v>
      </c>
      <c r="X10" s="2">
        <v>105.6</v>
      </c>
      <c r="Y10" s="2">
        <v>104.9</v>
      </c>
      <c r="Z10" s="2">
        <v>105.1</v>
      </c>
      <c r="AA10" s="2">
        <v>103.7</v>
      </c>
      <c r="AB10" s="2">
        <v>104</v>
      </c>
      <c r="AC10" s="2">
        <v>104.3</v>
      </c>
      <c r="AD10" s="2">
        <v>104.7</v>
      </c>
      <c r="AE10" s="2">
        <v>105.5</v>
      </c>
      <c r="AG10" s="20">
        <f t="shared" si="0"/>
        <v>106.46153846153848</v>
      </c>
      <c r="AH10" s="2">
        <v>106.6</v>
      </c>
      <c r="AI10" s="20">
        <f t="shared" si="1"/>
        <v>104.03333333333335</v>
      </c>
      <c r="AJ10" s="20">
        <f t="shared" si="2"/>
        <v>107.06666666666666</v>
      </c>
      <c r="AK10" s="20">
        <f t="shared" si="3"/>
        <v>104.45</v>
      </c>
    </row>
    <row r="11" spans="1:37" ht="15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110.2</v>
      </c>
      <c r="F11" s="2">
        <v>109.5</v>
      </c>
      <c r="G11" s="2">
        <v>106.9</v>
      </c>
      <c r="H11" s="2">
        <v>106.3</v>
      </c>
      <c r="I11" s="2">
        <v>105.7</v>
      </c>
      <c r="J11" s="2">
        <v>108.3</v>
      </c>
      <c r="K11" s="2">
        <v>103.4</v>
      </c>
      <c r="L11" s="2">
        <v>105.7</v>
      </c>
      <c r="M11" s="2">
        <v>104.2</v>
      </c>
      <c r="N11" s="2">
        <v>103.2</v>
      </c>
      <c r="O11" s="2">
        <v>106.5</v>
      </c>
      <c r="P11" s="2">
        <v>108.8</v>
      </c>
      <c r="Q11" s="2">
        <v>107.1</v>
      </c>
      <c r="R11" s="2">
        <v>107.1</v>
      </c>
      <c r="S11" s="2">
        <v>108.1</v>
      </c>
      <c r="T11" s="2">
        <v>107.4</v>
      </c>
      <c r="U11" s="2">
        <v>108</v>
      </c>
      <c r="V11" s="2">
        <f>VLOOKUP($A11,'Impute housing Missing Value'!$A$1:$C$125,3,0)</f>
        <v>100.5</v>
      </c>
      <c r="W11" s="2">
        <v>106.5</v>
      </c>
      <c r="X11" s="2">
        <v>106.1</v>
      </c>
      <c r="Y11" s="2">
        <v>105.1</v>
      </c>
      <c r="Z11" s="2">
        <v>104.4</v>
      </c>
      <c r="AA11" s="2">
        <v>104.5</v>
      </c>
      <c r="AB11" s="2">
        <v>104.8</v>
      </c>
      <c r="AC11" s="2">
        <v>102.7</v>
      </c>
      <c r="AD11" s="2">
        <v>104.6</v>
      </c>
      <c r="AE11" s="2">
        <v>106.4</v>
      </c>
      <c r="AG11" s="20">
        <f t="shared" si="0"/>
        <v>106.6</v>
      </c>
      <c r="AH11" s="2">
        <v>107.1</v>
      </c>
      <c r="AI11" s="20">
        <f t="shared" si="1"/>
        <v>104.36666666666667</v>
      </c>
      <c r="AJ11" s="20">
        <f t="shared" si="2"/>
        <v>107.83333333333333</v>
      </c>
      <c r="AK11" s="20">
        <f t="shared" si="3"/>
        <v>104.35000000000001</v>
      </c>
    </row>
    <row r="12" spans="1:37" ht="15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114.6</v>
      </c>
      <c r="F12" s="2">
        <v>113.4</v>
      </c>
      <c r="G12" s="2">
        <v>106</v>
      </c>
      <c r="H12" s="2">
        <v>104.7</v>
      </c>
      <c r="I12" s="2">
        <v>102.1</v>
      </c>
      <c r="J12" s="2">
        <v>109.5</v>
      </c>
      <c r="K12" s="2">
        <v>109.7</v>
      </c>
      <c r="L12" s="2">
        <v>104.6</v>
      </c>
      <c r="M12" s="2">
        <v>102</v>
      </c>
      <c r="N12" s="2">
        <v>103.5</v>
      </c>
      <c r="O12" s="2">
        <v>108.2</v>
      </c>
      <c r="P12" s="2">
        <v>110.6</v>
      </c>
      <c r="Q12" s="2">
        <v>108.8</v>
      </c>
      <c r="R12" s="2">
        <v>108.5</v>
      </c>
      <c r="S12" s="2">
        <v>107.9</v>
      </c>
      <c r="T12" s="2">
        <v>106.4</v>
      </c>
      <c r="U12" s="2">
        <v>107.7</v>
      </c>
      <c r="V12" s="2">
        <v>100.4</v>
      </c>
      <c r="W12" s="2">
        <v>106.4</v>
      </c>
      <c r="X12" s="2">
        <v>106.5</v>
      </c>
      <c r="Y12" s="2">
        <v>105.7</v>
      </c>
      <c r="Z12" s="2">
        <v>105</v>
      </c>
      <c r="AA12" s="2">
        <v>104</v>
      </c>
      <c r="AB12" s="2">
        <v>105.2</v>
      </c>
      <c r="AC12" s="2">
        <v>103.2</v>
      </c>
      <c r="AD12" s="2">
        <v>105.1</v>
      </c>
      <c r="AE12" s="2">
        <v>105.7</v>
      </c>
      <c r="AG12" s="20">
        <f t="shared" si="0"/>
        <v>107.5153846153846</v>
      </c>
      <c r="AH12" s="2">
        <v>108.5</v>
      </c>
      <c r="AI12" s="20">
        <f t="shared" si="1"/>
        <v>104.43333333333334</v>
      </c>
      <c r="AJ12" s="20">
        <f t="shared" si="2"/>
        <v>107.33333333333333</v>
      </c>
      <c r="AK12" s="20">
        <f t="shared" si="3"/>
        <v>104.7</v>
      </c>
    </row>
    <row r="13" spans="1:37" ht="26.5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111.6</v>
      </c>
      <c r="F13" s="2">
        <v>110.9</v>
      </c>
      <c r="G13" s="2">
        <v>106.6</v>
      </c>
      <c r="H13" s="2">
        <v>105.7</v>
      </c>
      <c r="I13" s="2">
        <v>104.4</v>
      </c>
      <c r="J13" s="2">
        <v>108.9</v>
      </c>
      <c r="K13" s="2">
        <v>105.5</v>
      </c>
      <c r="L13" s="2">
        <v>105.3</v>
      </c>
      <c r="M13" s="2">
        <v>103.5</v>
      </c>
      <c r="N13" s="2">
        <v>103.3</v>
      </c>
      <c r="O13" s="2">
        <v>107.2</v>
      </c>
      <c r="P13" s="2">
        <v>109.6</v>
      </c>
      <c r="Q13" s="2">
        <v>107.7</v>
      </c>
      <c r="R13" s="2">
        <v>107.5</v>
      </c>
      <c r="S13" s="2">
        <v>108</v>
      </c>
      <c r="T13" s="2">
        <v>107</v>
      </c>
      <c r="U13" s="2">
        <v>107.9</v>
      </c>
      <c r="V13" s="2">
        <v>100.4</v>
      </c>
      <c r="W13" s="2">
        <v>106.5</v>
      </c>
      <c r="X13" s="2">
        <v>106.3</v>
      </c>
      <c r="Y13" s="2">
        <v>105.3</v>
      </c>
      <c r="Z13" s="2">
        <v>104.7</v>
      </c>
      <c r="AA13" s="2">
        <v>104.2</v>
      </c>
      <c r="AB13" s="2">
        <v>105</v>
      </c>
      <c r="AC13" s="2">
        <v>102.9</v>
      </c>
      <c r="AD13" s="2">
        <v>104.8</v>
      </c>
      <c r="AE13" s="2">
        <v>106.1</v>
      </c>
      <c r="AG13" s="20">
        <f t="shared" si="0"/>
        <v>106.93846153846154</v>
      </c>
      <c r="AH13" s="2">
        <v>107.5</v>
      </c>
      <c r="AI13" s="20">
        <f t="shared" si="1"/>
        <v>104.39999999999999</v>
      </c>
      <c r="AJ13" s="20">
        <f t="shared" si="2"/>
        <v>107.63333333333333</v>
      </c>
      <c r="AK13" s="20">
        <f t="shared" si="3"/>
        <v>104.48333333333333</v>
      </c>
    </row>
    <row r="14" spans="1:37" ht="15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110.9</v>
      </c>
      <c r="F14" s="2">
        <v>109.8</v>
      </c>
      <c r="G14" s="2">
        <v>105.9</v>
      </c>
      <c r="H14" s="2">
        <v>107.5</v>
      </c>
      <c r="I14" s="2">
        <v>105.3</v>
      </c>
      <c r="J14" s="2">
        <v>108.1</v>
      </c>
      <c r="K14" s="2">
        <v>107.3</v>
      </c>
      <c r="L14" s="2">
        <v>106.1</v>
      </c>
      <c r="M14" s="2">
        <v>103.7</v>
      </c>
      <c r="N14" s="2">
        <v>104</v>
      </c>
      <c r="O14" s="2">
        <v>107.4</v>
      </c>
      <c r="P14" s="2">
        <v>109.9</v>
      </c>
      <c r="Q14" s="2">
        <v>108.1</v>
      </c>
      <c r="R14" s="2">
        <v>108.1</v>
      </c>
      <c r="S14" s="2">
        <v>108.8</v>
      </c>
      <c r="T14" s="2">
        <v>107.9</v>
      </c>
      <c r="U14" s="2">
        <v>108.6</v>
      </c>
      <c r="V14" s="2">
        <f>VLOOKUP($A14,'Impute housing Missing Value'!$A$1:$C$125,3,0)</f>
        <v>100.5</v>
      </c>
      <c r="W14" s="2">
        <v>107.5</v>
      </c>
      <c r="X14" s="2">
        <v>106.8</v>
      </c>
      <c r="Y14" s="2">
        <v>105.7</v>
      </c>
      <c r="Z14" s="2">
        <v>104.1</v>
      </c>
      <c r="AA14" s="2">
        <v>105</v>
      </c>
      <c r="AB14" s="2">
        <v>105.5</v>
      </c>
      <c r="AC14" s="2">
        <v>102.1</v>
      </c>
      <c r="AD14" s="2">
        <v>104.8</v>
      </c>
      <c r="AE14" s="2">
        <v>107.2</v>
      </c>
      <c r="AG14" s="20">
        <f t="shared" si="0"/>
        <v>107.23076923076923</v>
      </c>
      <c r="AH14" s="2">
        <v>108.1</v>
      </c>
      <c r="AI14" s="20">
        <f t="shared" si="1"/>
        <v>104.93333333333334</v>
      </c>
      <c r="AJ14" s="20">
        <f t="shared" si="2"/>
        <v>108.43333333333332</v>
      </c>
      <c r="AK14" s="20">
        <f t="shared" si="3"/>
        <v>104.53333333333332</v>
      </c>
    </row>
    <row r="15" spans="1:37" ht="15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115.4</v>
      </c>
      <c r="F15" s="2">
        <v>114.2</v>
      </c>
      <c r="G15" s="2">
        <v>102.7</v>
      </c>
      <c r="H15" s="2">
        <v>105.5</v>
      </c>
      <c r="I15" s="2">
        <v>101.5</v>
      </c>
      <c r="J15" s="2">
        <v>110.6</v>
      </c>
      <c r="K15" s="2">
        <v>123.7</v>
      </c>
      <c r="L15" s="2">
        <v>105.2</v>
      </c>
      <c r="M15" s="2">
        <v>101.9</v>
      </c>
      <c r="N15" s="2">
        <v>105</v>
      </c>
      <c r="O15" s="2">
        <v>109.1</v>
      </c>
      <c r="P15" s="2">
        <v>111.3</v>
      </c>
      <c r="Q15" s="2">
        <v>111.1</v>
      </c>
      <c r="R15" s="2">
        <v>109.8</v>
      </c>
      <c r="S15" s="2">
        <v>108.5</v>
      </c>
      <c r="T15" s="2">
        <v>106.7</v>
      </c>
      <c r="U15" s="2">
        <v>108.3</v>
      </c>
      <c r="V15" s="2">
        <v>100.4</v>
      </c>
      <c r="W15" s="2">
        <v>107.2</v>
      </c>
      <c r="X15" s="2">
        <v>107.1</v>
      </c>
      <c r="Y15" s="2">
        <v>106.2</v>
      </c>
      <c r="Z15" s="2">
        <v>103.9</v>
      </c>
      <c r="AA15" s="2">
        <v>104.6</v>
      </c>
      <c r="AB15" s="2">
        <v>105.7</v>
      </c>
      <c r="AC15" s="2">
        <v>102.6</v>
      </c>
      <c r="AD15" s="2">
        <v>104.9</v>
      </c>
      <c r="AE15" s="2">
        <v>106.6</v>
      </c>
      <c r="AG15" s="20">
        <f t="shared" si="0"/>
        <v>109.0153846153846</v>
      </c>
      <c r="AH15" s="2">
        <v>109.8</v>
      </c>
      <c r="AI15" s="20">
        <f t="shared" si="1"/>
        <v>104.90000000000002</v>
      </c>
      <c r="AJ15" s="20">
        <f t="shared" si="2"/>
        <v>107.83333333333333</v>
      </c>
      <c r="AK15" s="20">
        <f t="shared" si="3"/>
        <v>104.64999999999999</v>
      </c>
    </row>
    <row r="16" spans="1:37" ht="26.5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112.3</v>
      </c>
      <c r="F16" s="2">
        <v>111.3</v>
      </c>
      <c r="G16" s="2">
        <v>104.7</v>
      </c>
      <c r="H16" s="2">
        <v>106.8</v>
      </c>
      <c r="I16" s="2">
        <v>103.9</v>
      </c>
      <c r="J16" s="2">
        <v>109.3</v>
      </c>
      <c r="K16" s="2">
        <v>112.9</v>
      </c>
      <c r="L16" s="2">
        <v>105.8</v>
      </c>
      <c r="M16" s="2">
        <v>103.1</v>
      </c>
      <c r="N16" s="2">
        <v>104.3</v>
      </c>
      <c r="O16" s="2">
        <v>108.1</v>
      </c>
      <c r="P16" s="2">
        <v>110.5</v>
      </c>
      <c r="Q16" s="2">
        <v>109.2</v>
      </c>
      <c r="R16" s="2">
        <v>108.6</v>
      </c>
      <c r="S16" s="2">
        <v>108.7</v>
      </c>
      <c r="T16" s="2">
        <v>107.4</v>
      </c>
      <c r="U16" s="2">
        <v>108.5</v>
      </c>
      <c r="V16" s="2">
        <v>100.4</v>
      </c>
      <c r="W16" s="2">
        <v>107.4</v>
      </c>
      <c r="X16" s="2">
        <v>106.9</v>
      </c>
      <c r="Y16" s="2">
        <v>105.9</v>
      </c>
      <c r="Z16" s="2">
        <v>104</v>
      </c>
      <c r="AA16" s="2">
        <v>104.8</v>
      </c>
      <c r="AB16" s="2">
        <v>105.6</v>
      </c>
      <c r="AC16" s="2">
        <v>102.3</v>
      </c>
      <c r="AD16" s="2">
        <v>104.8</v>
      </c>
      <c r="AE16" s="2">
        <v>106.9</v>
      </c>
      <c r="AG16" s="20">
        <f t="shared" si="0"/>
        <v>107.86153846153844</v>
      </c>
      <c r="AH16" s="2">
        <v>108.6</v>
      </c>
      <c r="AI16" s="20">
        <f t="shared" si="1"/>
        <v>104.90000000000002</v>
      </c>
      <c r="AJ16" s="20">
        <f t="shared" si="2"/>
        <v>108.2</v>
      </c>
      <c r="AK16" s="20">
        <f t="shared" si="3"/>
        <v>104.56666666666665</v>
      </c>
    </row>
    <row r="17" spans="1:37" ht="15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112.3</v>
      </c>
      <c r="F17" s="2">
        <v>112.1</v>
      </c>
      <c r="G17" s="2">
        <v>108.1</v>
      </c>
      <c r="H17" s="2">
        <v>108.3</v>
      </c>
      <c r="I17" s="2">
        <v>105.9</v>
      </c>
      <c r="J17" s="2">
        <v>109.2</v>
      </c>
      <c r="K17" s="2">
        <v>118</v>
      </c>
      <c r="L17" s="2">
        <v>106.8</v>
      </c>
      <c r="M17" s="2">
        <v>104.1</v>
      </c>
      <c r="N17" s="2">
        <v>105.4</v>
      </c>
      <c r="O17" s="2">
        <v>108.2</v>
      </c>
      <c r="P17" s="2">
        <v>111</v>
      </c>
      <c r="Q17" s="2">
        <v>110.6</v>
      </c>
      <c r="R17" s="2">
        <v>109</v>
      </c>
      <c r="S17" s="2">
        <v>109.7</v>
      </c>
      <c r="T17" s="2">
        <v>108.8</v>
      </c>
      <c r="U17" s="2">
        <v>109.5</v>
      </c>
      <c r="V17" s="2">
        <f>VLOOKUP($A17,'Impute housing Missing Value'!$A$1:$C$125,3,0)</f>
        <v>106.6</v>
      </c>
      <c r="W17" s="2">
        <v>108.5</v>
      </c>
      <c r="X17" s="2">
        <v>107.5</v>
      </c>
      <c r="Y17" s="2">
        <v>106.3</v>
      </c>
      <c r="Z17" s="2">
        <v>105</v>
      </c>
      <c r="AA17" s="2">
        <v>105.6</v>
      </c>
      <c r="AB17" s="2">
        <v>106.5</v>
      </c>
      <c r="AC17" s="2">
        <v>102.5</v>
      </c>
      <c r="AD17" s="2">
        <v>105.5</v>
      </c>
      <c r="AE17" s="2">
        <v>108.9</v>
      </c>
      <c r="AG17" s="20">
        <f t="shared" si="0"/>
        <v>109.23076923076923</v>
      </c>
      <c r="AH17" s="2">
        <v>109</v>
      </c>
      <c r="AI17" s="20">
        <f t="shared" si="1"/>
        <v>107.53333333333335</v>
      </c>
      <c r="AJ17" s="20">
        <f t="shared" si="2"/>
        <v>109.33333333333333</v>
      </c>
      <c r="AK17" s="20">
        <f t="shared" si="3"/>
        <v>105.23333333333333</v>
      </c>
    </row>
    <row r="18" spans="1:37" ht="15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117</v>
      </c>
      <c r="F18" s="2">
        <v>120.1</v>
      </c>
      <c r="G18" s="2">
        <v>112.5</v>
      </c>
      <c r="H18" s="2">
        <v>107.3</v>
      </c>
      <c r="I18" s="2">
        <v>101.3</v>
      </c>
      <c r="J18" s="2">
        <v>112.4</v>
      </c>
      <c r="K18" s="2">
        <v>143.6</v>
      </c>
      <c r="L18" s="2">
        <v>105.4</v>
      </c>
      <c r="M18" s="2">
        <v>101.4</v>
      </c>
      <c r="N18" s="2">
        <v>106.4</v>
      </c>
      <c r="O18" s="2">
        <v>110</v>
      </c>
      <c r="P18" s="2">
        <v>112.2</v>
      </c>
      <c r="Q18" s="2">
        <v>115</v>
      </c>
      <c r="R18" s="2">
        <v>110.9</v>
      </c>
      <c r="S18" s="2">
        <v>109.2</v>
      </c>
      <c r="T18" s="2">
        <v>107.2</v>
      </c>
      <c r="U18" s="2">
        <v>108.9</v>
      </c>
      <c r="V18" s="2">
        <v>100.4</v>
      </c>
      <c r="W18" s="2">
        <v>108</v>
      </c>
      <c r="X18" s="2">
        <v>107.7</v>
      </c>
      <c r="Y18" s="2">
        <v>106.5</v>
      </c>
      <c r="Z18" s="2">
        <v>105.2</v>
      </c>
      <c r="AA18" s="2">
        <v>105.2</v>
      </c>
      <c r="AB18" s="2">
        <v>108.1</v>
      </c>
      <c r="AC18" s="2">
        <v>103.3</v>
      </c>
      <c r="AD18" s="2">
        <v>106.1</v>
      </c>
      <c r="AE18" s="2">
        <v>109.7</v>
      </c>
      <c r="AG18" s="20">
        <f t="shared" si="0"/>
        <v>112.66153846153847</v>
      </c>
      <c r="AH18" s="2">
        <v>110.9</v>
      </c>
      <c r="AI18" s="20">
        <f t="shared" si="1"/>
        <v>105.36666666666667</v>
      </c>
      <c r="AJ18" s="20">
        <f t="shared" si="2"/>
        <v>108.43333333333334</v>
      </c>
      <c r="AK18" s="20">
        <f t="shared" si="3"/>
        <v>105.73333333333333</v>
      </c>
    </row>
    <row r="19" spans="1:37" ht="26.5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113.8</v>
      </c>
      <c r="F19" s="2">
        <v>114.9</v>
      </c>
      <c r="G19" s="2">
        <v>109.8</v>
      </c>
      <c r="H19" s="2">
        <v>107.9</v>
      </c>
      <c r="I19" s="2">
        <v>104.2</v>
      </c>
      <c r="J19" s="2">
        <v>110.7</v>
      </c>
      <c r="K19" s="2">
        <v>126.7</v>
      </c>
      <c r="L19" s="2">
        <v>106.3</v>
      </c>
      <c r="M19" s="2">
        <v>103.2</v>
      </c>
      <c r="N19" s="2">
        <v>105.7</v>
      </c>
      <c r="O19" s="2">
        <v>109</v>
      </c>
      <c r="P19" s="2">
        <v>111.6</v>
      </c>
      <c r="Q19" s="2">
        <v>112.2</v>
      </c>
      <c r="R19" s="2">
        <v>109.5</v>
      </c>
      <c r="S19" s="2">
        <v>109.5</v>
      </c>
      <c r="T19" s="2">
        <v>108.1</v>
      </c>
      <c r="U19" s="2">
        <v>109.3</v>
      </c>
      <c r="V19" s="2">
        <v>100.4</v>
      </c>
      <c r="W19" s="2">
        <v>108.3</v>
      </c>
      <c r="X19" s="2">
        <v>107.6</v>
      </c>
      <c r="Y19" s="2">
        <v>106.4</v>
      </c>
      <c r="Z19" s="2">
        <v>105.1</v>
      </c>
      <c r="AA19" s="2">
        <v>105.4</v>
      </c>
      <c r="AB19" s="2">
        <v>107.4</v>
      </c>
      <c r="AC19" s="2">
        <v>102.8</v>
      </c>
      <c r="AD19" s="2">
        <v>105.8</v>
      </c>
      <c r="AE19" s="2">
        <v>109.3</v>
      </c>
      <c r="AG19" s="20">
        <f t="shared" si="0"/>
        <v>110.46153846153847</v>
      </c>
      <c r="AH19" s="2">
        <v>109.5</v>
      </c>
      <c r="AI19" s="20">
        <f t="shared" si="1"/>
        <v>105.43333333333332</v>
      </c>
      <c r="AJ19" s="20">
        <f t="shared" si="2"/>
        <v>108.96666666666665</v>
      </c>
      <c r="AK19" s="20">
        <f t="shared" si="3"/>
        <v>105.48333333333331</v>
      </c>
    </row>
    <row r="20" spans="1:37" ht="15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113.4</v>
      </c>
      <c r="F20" s="2">
        <v>114.9</v>
      </c>
      <c r="G20" s="2">
        <v>110.5</v>
      </c>
      <c r="H20" s="2">
        <v>109.3</v>
      </c>
      <c r="I20" s="2">
        <v>106.2</v>
      </c>
      <c r="J20" s="2">
        <v>110.3</v>
      </c>
      <c r="K20" s="2">
        <v>129.19999999999999</v>
      </c>
      <c r="L20" s="2">
        <v>107.1</v>
      </c>
      <c r="M20" s="2">
        <v>104.3</v>
      </c>
      <c r="N20" s="2">
        <v>106.4</v>
      </c>
      <c r="O20" s="2">
        <v>109.1</v>
      </c>
      <c r="P20" s="2">
        <v>112.1</v>
      </c>
      <c r="Q20" s="2">
        <v>113.1</v>
      </c>
      <c r="R20" s="2">
        <v>109.8</v>
      </c>
      <c r="S20" s="2">
        <v>110.5</v>
      </c>
      <c r="T20" s="2">
        <v>109.5</v>
      </c>
      <c r="U20" s="2">
        <v>110.3</v>
      </c>
      <c r="V20" s="2">
        <f>VLOOKUP($A20,'Impute housing Missing Value'!$A$1:$C$125,3,0)</f>
        <v>107.7</v>
      </c>
      <c r="W20" s="2">
        <v>109.5</v>
      </c>
      <c r="X20" s="2">
        <v>108.3</v>
      </c>
      <c r="Y20" s="2">
        <v>106.9</v>
      </c>
      <c r="Z20" s="2">
        <v>106.8</v>
      </c>
      <c r="AA20" s="2">
        <v>106.4</v>
      </c>
      <c r="AB20" s="2">
        <v>107.8</v>
      </c>
      <c r="AC20" s="2">
        <v>102.5</v>
      </c>
      <c r="AD20" s="2">
        <v>106.5</v>
      </c>
      <c r="AE20" s="2">
        <v>110.7</v>
      </c>
      <c r="AG20" s="20">
        <f t="shared" si="0"/>
        <v>111.22307692307689</v>
      </c>
      <c r="AH20" s="2">
        <v>109.8</v>
      </c>
      <c r="AI20" s="20">
        <f t="shared" si="1"/>
        <v>108.5</v>
      </c>
      <c r="AJ20" s="20">
        <f t="shared" si="2"/>
        <v>110.10000000000001</v>
      </c>
      <c r="AK20" s="20">
        <f t="shared" si="3"/>
        <v>106.15000000000002</v>
      </c>
    </row>
    <row r="21" spans="1:37" ht="15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117.8</v>
      </c>
      <c r="F21" s="2">
        <v>119.2</v>
      </c>
      <c r="G21" s="2">
        <v>114</v>
      </c>
      <c r="H21" s="2">
        <v>108.3</v>
      </c>
      <c r="I21" s="2">
        <v>101.1</v>
      </c>
      <c r="J21" s="2">
        <v>113.2</v>
      </c>
      <c r="K21" s="2">
        <v>160.9</v>
      </c>
      <c r="L21" s="2">
        <v>105.1</v>
      </c>
      <c r="M21" s="2">
        <v>101.3</v>
      </c>
      <c r="N21" s="2">
        <v>107.5</v>
      </c>
      <c r="O21" s="2">
        <v>110.4</v>
      </c>
      <c r="P21" s="2">
        <v>113.1</v>
      </c>
      <c r="Q21" s="2">
        <v>117.5</v>
      </c>
      <c r="R21" s="2">
        <v>111.7</v>
      </c>
      <c r="S21" s="2">
        <v>109.8</v>
      </c>
      <c r="T21" s="2">
        <v>107.8</v>
      </c>
      <c r="U21" s="2">
        <v>109.5</v>
      </c>
      <c r="V21" s="2">
        <v>100.4</v>
      </c>
      <c r="W21" s="2">
        <v>108.6</v>
      </c>
      <c r="X21" s="2">
        <v>108.1</v>
      </c>
      <c r="Y21" s="2">
        <v>107.1</v>
      </c>
      <c r="Z21" s="2">
        <v>107.3</v>
      </c>
      <c r="AA21" s="2">
        <v>105.9</v>
      </c>
      <c r="AB21" s="2">
        <v>110.1</v>
      </c>
      <c r="AC21" s="2">
        <v>103.2</v>
      </c>
      <c r="AD21" s="2">
        <v>107.3</v>
      </c>
      <c r="AE21" s="2">
        <v>111.4</v>
      </c>
      <c r="AG21" s="20">
        <f t="shared" si="0"/>
        <v>114.56923076923077</v>
      </c>
      <c r="AH21" s="2">
        <v>111.7</v>
      </c>
      <c r="AI21" s="20">
        <f t="shared" si="1"/>
        <v>105.7</v>
      </c>
      <c r="AJ21" s="20">
        <f t="shared" si="2"/>
        <v>109.03333333333335</v>
      </c>
      <c r="AK21" s="20">
        <f t="shared" si="3"/>
        <v>106.81666666666666</v>
      </c>
    </row>
    <row r="22" spans="1:37" ht="26.5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114.8</v>
      </c>
      <c r="F22" s="2">
        <v>116.4</v>
      </c>
      <c r="G22" s="2">
        <v>111.9</v>
      </c>
      <c r="H22" s="2">
        <v>108.9</v>
      </c>
      <c r="I22" s="2">
        <v>104.3</v>
      </c>
      <c r="J22" s="2">
        <v>111.7</v>
      </c>
      <c r="K22" s="2">
        <v>140</v>
      </c>
      <c r="L22" s="2">
        <v>106.4</v>
      </c>
      <c r="M22" s="2">
        <v>103.3</v>
      </c>
      <c r="N22" s="2">
        <v>106.8</v>
      </c>
      <c r="O22" s="2">
        <v>109.6</v>
      </c>
      <c r="P22" s="2">
        <v>112.6</v>
      </c>
      <c r="Q22" s="2">
        <v>114.7</v>
      </c>
      <c r="R22" s="2">
        <v>110.3</v>
      </c>
      <c r="S22" s="2">
        <v>110.2</v>
      </c>
      <c r="T22" s="2">
        <v>108.8</v>
      </c>
      <c r="U22" s="2">
        <v>110</v>
      </c>
      <c r="V22" s="2">
        <v>100.4</v>
      </c>
      <c r="W22" s="2">
        <v>109.2</v>
      </c>
      <c r="X22" s="2">
        <v>108.2</v>
      </c>
      <c r="Y22" s="2">
        <v>107</v>
      </c>
      <c r="Z22" s="2">
        <v>107.1</v>
      </c>
      <c r="AA22" s="2">
        <v>106.1</v>
      </c>
      <c r="AB22" s="2">
        <v>109.1</v>
      </c>
      <c r="AC22" s="2">
        <v>102.8</v>
      </c>
      <c r="AD22" s="2">
        <v>106.9</v>
      </c>
      <c r="AE22" s="2">
        <v>111</v>
      </c>
      <c r="AG22" s="20">
        <f t="shared" si="0"/>
        <v>112.41538461538461</v>
      </c>
      <c r="AH22" s="2">
        <v>110.3</v>
      </c>
      <c r="AI22" s="20">
        <f t="shared" si="1"/>
        <v>105.93333333333334</v>
      </c>
      <c r="AJ22" s="20">
        <f t="shared" si="2"/>
        <v>109.66666666666667</v>
      </c>
      <c r="AK22" s="20">
        <f t="shared" si="3"/>
        <v>106.49999999999999</v>
      </c>
    </row>
    <row r="23" spans="1:37" ht="15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114.3</v>
      </c>
      <c r="F23" s="2">
        <v>115.4</v>
      </c>
      <c r="G23" s="2">
        <v>111.1</v>
      </c>
      <c r="H23" s="2">
        <v>110</v>
      </c>
      <c r="I23" s="2">
        <v>106.4</v>
      </c>
      <c r="J23" s="2">
        <v>110.8</v>
      </c>
      <c r="K23" s="2">
        <v>138.9</v>
      </c>
      <c r="L23" s="2">
        <v>107.4</v>
      </c>
      <c r="M23" s="2">
        <v>104.1</v>
      </c>
      <c r="N23" s="2">
        <v>106.9</v>
      </c>
      <c r="O23" s="2">
        <v>109.7</v>
      </c>
      <c r="P23" s="2">
        <v>112.6</v>
      </c>
      <c r="Q23" s="2">
        <v>114.9</v>
      </c>
      <c r="R23" s="2">
        <v>110.7</v>
      </c>
      <c r="S23" s="2">
        <v>111.3</v>
      </c>
      <c r="T23" s="2">
        <v>110.2</v>
      </c>
      <c r="U23" s="2">
        <v>111.1</v>
      </c>
      <c r="V23" s="2">
        <f>VLOOKUP($A23,'Impute housing Missing Value'!$A$1:$C$125,3,0)</f>
        <v>108.9</v>
      </c>
      <c r="W23" s="2">
        <v>109.9</v>
      </c>
      <c r="X23" s="2">
        <v>108.7</v>
      </c>
      <c r="Y23" s="2">
        <v>107.5</v>
      </c>
      <c r="Z23" s="2">
        <v>107.8</v>
      </c>
      <c r="AA23" s="2">
        <v>106.8</v>
      </c>
      <c r="AB23" s="2">
        <v>108.7</v>
      </c>
      <c r="AC23" s="2">
        <v>105</v>
      </c>
      <c r="AD23" s="2">
        <v>107.5</v>
      </c>
      <c r="AE23" s="2">
        <v>112.1</v>
      </c>
      <c r="AG23" s="20">
        <f t="shared" si="0"/>
        <v>112.5</v>
      </c>
      <c r="AH23" s="2">
        <v>110.7</v>
      </c>
      <c r="AI23" s="20">
        <f t="shared" si="1"/>
        <v>109.16666666666667</v>
      </c>
      <c r="AJ23" s="20">
        <f t="shared" si="2"/>
        <v>110.86666666666667</v>
      </c>
      <c r="AK23" s="20">
        <f t="shared" si="3"/>
        <v>107.21666666666665</v>
      </c>
    </row>
    <row r="24" spans="1:37" ht="15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118.3</v>
      </c>
      <c r="F24" s="2">
        <v>120.4</v>
      </c>
      <c r="G24" s="2">
        <v>112.7</v>
      </c>
      <c r="H24" s="2">
        <v>108.9</v>
      </c>
      <c r="I24" s="2">
        <v>101.1</v>
      </c>
      <c r="J24" s="2">
        <v>108.7</v>
      </c>
      <c r="K24" s="2">
        <v>177</v>
      </c>
      <c r="L24" s="2">
        <v>104.7</v>
      </c>
      <c r="M24" s="2">
        <v>101</v>
      </c>
      <c r="N24" s="2">
        <v>108.5</v>
      </c>
      <c r="O24" s="2">
        <v>110.9</v>
      </c>
      <c r="P24" s="2">
        <v>114.3</v>
      </c>
      <c r="Q24" s="2">
        <v>119.6</v>
      </c>
      <c r="R24" s="2">
        <v>112.4</v>
      </c>
      <c r="S24" s="2">
        <v>110.6</v>
      </c>
      <c r="T24" s="2">
        <v>108.3</v>
      </c>
      <c r="U24" s="2">
        <v>110.2</v>
      </c>
      <c r="V24" s="2">
        <v>100.4</v>
      </c>
      <c r="W24" s="2">
        <v>109.3</v>
      </c>
      <c r="X24" s="2">
        <v>108.7</v>
      </c>
      <c r="Y24" s="2">
        <v>107.6</v>
      </c>
      <c r="Z24" s="2">
        <v>108.1</v>
      </c>
      <c r="AA24" s="2">
        <v>106.5</v>
      </c>
      <c r="AB24" s="2">
        <v>110.8</v>
      </c>
      <c r="AC24" s="2">
        <v>106</v>
      </c>
      <c r="AD24" s="2">
        <v>108.3</v>
      </c>
      <c r="AE24" s="2">
        <v>112.7</v>
      </c>
      <c r="AG24" s="20">
        <f t="shared" si="0"/>
        <v>115.85384615384616</v>
      </c>
      <c r="AH24" s="2">
        <v>112.4</v>
      </c>
      <c r="AI24" s="20">
        <f t="shared" si="1"/>
        <v>106.13333333333333</v>
      </c>
      <c r="AJ24" s="20">
        <f t="shared" si="2"/>
        <v>109.69999999999999</v>
      </c>
      <c r="AK24" s="20">
        <f t="shared" si="3"/>
        <v>107.88333333333333</v>
      </c>
    </row>
    <row r="25" spans="1:37" ht="26.5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115.6</v>
      </c>
      <c r="F25" s="2">
        <v>117.2</v>
      </c>
      <c r="G25" s="2">
        <v>111.7</v>
      </c>
      <c r="H25" s="2">
        <v>109.6</v>
      </c>
      <c r="I25" s="2">
        <v>104.5</v>
      </c>
      <c r="J25" s="2">
        <v>109.8</v>
      </c>
      <c r="K25" s="2">
        <v>151.80000000000001</v>
      </c>
      <c r="L25" s="2">
        <v>106.5</v>
      </c>
      <c r="M25" s="2">
        <v>103.1</v>
      </c>
      <c r="N25" s="2">
        <v>107.4</v>
      </c>
      <c r="O25" s="2">
        <v>110.2</v>
      </c>
      <c r="P25" s="2">
        <v>113.4</v>
      </c>
      <c r="Q25" s="2">
        <v>116.6</v>
      </c>
      <c r="R25" s="2">
        <v>111.2</v>
      </c>
      <c r="S25" s="2">
        <v>111</v>
      </c>
      <c r="T25" s="2">
        <v>109.4</v>
      </c>
      <c r="U25" s="2">
        <v>110.7</v>
      </c>
      <c r="V25" s="2">
        <v>100.4</v>
      </c>
      <c r="W25" s="2">
        <v>109.7</v>
      </c>
      <c r="X25" s="2">
        <v>108.7</v>
      </c>
      <c r="Y25" s="2">
        <v>107.5</v>
      </c>
      <c r="Z25" s="2">
        <v>108</v>
      </c>
      <c r="AA25" s="2">
        <v>106.6</v>
      </c>
      <c r="AB25" s="2">
        <v>109.9</v>
      </c>
      <c r="AC25" s="2">
        <v>105.4</v>
      </c>
      <c r="AD25" s="2">
        <v>107.9</v>
      </c>
      <c r="AE25" s="2">
        <v>112.4</v>
      </c>
      <c r="AG25" s="20">
        <f t="shared" si="0"/>
        <v>113.64615384615385</v>
      </c>
      <c r="AH25" s="2">
        <v>111.2</v>
      </c>
      <c r="AI25" s="20">
        <f t="shared" si="1"/>
        <v>106.26666666666667</v>
      </c>
      <c r="AJ25" s="20">
        <f t="shared" si="2"/>
        <v>110.36666666666667</v>
      </c>
      <c r="AK25" s="20">
        <f t="shared" si="3"/>
        <v>107.55</v>
      </c>
    </row>
    <row r="26" spans="1:37" ht="26.5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115.4</v>
      </c>
      <c r="F26" s="2">
        <v>115.7</v>
      </c>
      <c r="G26" s="2">
        <v>111.7</v>
      </c>
      <c r="H26" s="2">
        <v>111</v>
      </c>
      <c r="I26" s="2">
        <v>107.4</v>
      </c>
      <c r="J26" s="2">
        <v>110.9</v>
      </c>
      <c r="K26" s="2">
        <v>154</v>
      </c>
      <c r="L26" s="2">
        <v>108.1</v>
      </c>
      <c r="M26" s="2">
        <v>104.2</v>
      </c>
      <c r="N26" s="2">
        <v>107.9</v>
      </c>
      <c r="O26" s="2">
        <v>110.4</v>
      </c>
      <c r="P26" s="2">
        <v>114</v>
      </c>
      <c r="Q26" s="2">
        <v>117.8</v>
      </c>
      <c r="R26" s="2">
        <v>111.7</v>
      </c>
      <c r="S26" s="2">
        <v>112.7</v>
      </c>
      <c r="T26" s="2">
        <v>111.4</v>
      </c>
      <c r="U26" s="2">
        <v>112.5</v>
      </c>
      <c r="V26" s="2">
        <f>VLOOKUP($A26,'Impute housing Missing Value'!$A$1:$C$125,3,0)</f>
        <v>109.7</v>
      </c>
      <c r="W26" s="2">
        <v>111.1</v>
      </c>
      <c r="X26" s="2">
        <v>109.6</v>
      </c>
      <c r="Y26" s="2">
        <v>108.3</v>
      </c>
      <c r="Z26" s="2">
        <v>109.3</v>
      </c>
      <c r="AA26" s="2">
        <v>107.7</v>
      </c>
      <c r="AB26" s="2">
        <v>109.8</v>
      </c>
      <c r="AC26" s="2">
        <v>106.7</v>
      </c>
      <c r="AD26" s="2">
        <v>108.7</v>
      </c>
      <c r="AE26" s="2">
        <v>114.2</v>
      </c>
      <c r="AG26" s="20">
        <f t="shared" si="0"/>
        <v>114.50000000000001</v>
      </c>
      <c r="AH26" s="2">
        <v>111.7</v>
      </c>
      <c r="AI26" s="20">
        <f t="shared" si="1"/>
        <v>110.13333333333333</v>
      </c>
      <c r="AJ26" s="20">
        <f t="shared" si="2"/>
        <v>112.2</v>
      </c>
      <c r="AK26" s="20">
        <f t="shared" si="3"/>
        <v>108.41666666666669</v>
      </c>
    </row>
    <row r="27" spans="1:37" ht="26.5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118.6</v>
      </c>
      <c r="F27" s="2">
        <v>119.1</v>
      </c>
      <c r="G27" s="2">
        <v>113.2</v>
      </c>
      <c r="H27" s="2">
        <v>109.6</v>
      </c>
      <c r="I27" s="2">
        <v>101.7</v>
      </c>
      <c r="J27" s="2">
        <v>103.2</v>
      </c>
      <c r="K27" s="2">
        <v>174.3</v>
      </c>
      <c r="L27" s="2">
        <v>105.1</v>
      </c>
      <c r="M27" s="2">
        <v>100.8</v>
      </c>
      <c r="N27" s="2">
        <v>109.1</v>
      </c>
      <c r="O27" s="2">
        <v>111.1</v>
      </c>
      <c r="P27" s="2">
        <v>115.4</v>
      </c>
      <c r="Q27" s="2">
        <v>119.2</v>
      </c>
      <c r="R27" s="2">
        <v>112.9</v>
      </c>
      <c r="S27" s="2">
        <v>111.4</v>
      </c>
      <c r="T27" s="2">
        <v>109</v>
      </c>
      <c r="U27" s="2">
        <v>111.1</v>
      </c>
      <c r="V27" s="2">
        <v>100.4</v>
      </c>
      <c r="W27" s="2">
        <v>109.5</v>
      </c>
      <c r="X27" s="2">
        <v>109.6</v>
      </c>
      <c r="Y27" s="2">
        <v>107.9</v>
      </c>
      <c r="Z27" s="2">
        <v>110.4</v>
      </c>
      <c r="AA27" s="2">
        <v>107.4</v>
      </c>
      <c r="AB27" s="2">
        <v>111.2</v>
      </c>
      <c r="AC27" s="2">
        <v>106.9</v>
      </c>
      <c r="AD27" s="2">
        <v>109.4</v>
      </c>
      <c r="AE27" s="2">
        <v>113.2</v>
      </c>
      <c r="AG27" s="20">
        <f t="shared" si="0"/>
        <v>115.41538461538462</v>
      </c>
      <c r="AH27" s="2">
        <v>112.9</v>
      </c>
      <c r="AI27" s="20">
        <f t="shared" si="1"/>
        <v>106.5</v>
      </c>
      <c r="AJ27" s="20">
        <f t="shared" si="2"/>
        <v>110.5</v>
      </c>
      <c r="AK27" s="20">
        <f t="shared" si="3"/>
        <v>108.86666666666667</v>
      </c>
    </row>
    <row r="28" spans="1:37" ht="26.5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116.4</v>
      </c>
      <c r="F28" s="2">
        <v>116.9</v>
      </c>
      <c r="G28" s="2">
        <v>112.3</v>
      </c>
      <c r="H28" s="2">
        <v>110.5</v>
      </c>
      <c r="I28" s="2">
        <v>105.3</v>
      </c>
      <c r="J28" s="2">
        <v>107.3</v>
      </c>
      <c r="K28" s="2">
        <v>160.9</v>
      </c>
      <c r="L28" s="2">
        <v>107.1</v>
      </c>
      <c r="M28" s="2">
        <v>103.1</v>
      </c>
      <c r="N28" s="2">
        <v>108.3</v>
      </c>
      <c r="O28" s="2">
        <v>110.7</v>
      </c>
      <c r="P28" s="2">
        <v>114.6</v>
      </c>
      <c r="Q28" s="2">
        <v>118.3</v>
      </c>
      <c r="R28" s="2">
        <v>112</v>
      </c>
      <c r="S28" s="2">
        <v>112.2</v>
      </c>
      <c r="T28" s="2">
        <v>110.4</v>
      </c>
      <c r="U28" s="2">
        <v>111.9</v>
      </c>
      <c r="V28" s="2">
        <v>100.4</v>
      </c>
      <c r="W28" s="2">
        <v>110.5</v>
      </c>
      <c r="X28" s="2">
        <v>109.6</v>
      </c>
      <c r="Y28" s="2">
        <v>108.1</v>
      </c>
      <c r="Z28" s="2">
        <v>109.9</v>
      </c>
      <c r="AA28" s="2">
        <v>107.5</v>
      </c>
      <c r="AB28" s="2">
        <v>110.6</v>
      </c>
      <c r="AC28" s="2">
        <v>106.8</v>
      </c>
      <c r="AD28" s="2">
        <v>109</v>
      </c>
      <c r="AE28" s="2">
        <v>113.7</v>
      </c>
      <c r="AG28" s="20">
        <f t="shared" si="0"/>
        <v>114.74615384615383</v>
      </c>
      <c r="AH28" s="2">
        <v>112</v>
      </c>
      <c r="AI28" s="20">
        <f t="shared" si="1"/>
        <v>106.83333333333333</v>
      </c>
      <c r="AJ28" s="20">
        <f t="shared" si="2"/>
        <v>111.5</v>
      </c>
      <c r="AK28" s="20">
        <f t="shared" si="3"/>
        <v>108.64999999999999</v>
      </c>
    </row>
    <row r="29" spans="1:37" ht="15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116.3</v>
      </c>
      <c r="F29" s="2">
        <v>115.4</v>
      </c>
      <c r="G29" s="2">
        <v>112.6</v>
      </c>
      <c r="H29" s="2">
        <v>111.7</v>
      </c>
      <c r="I29" s="2">
        <v>107.7</v>
      </c>
      <c r="J29" s="2">
        <v>113.2</v>
      </c>
      <c r="K29" s="2">
        <v>164.9</v>
      </c>
      <c r="L29" s="2">
        <v>108.3</v>
      </c>
      <c r="M29" s="2">
        <v>103.9</v>
      </c>
      <c r="N29" s="2">
        <v>108.2</v>
      </c>
      <c r="O29" s="2">
        <v>111.1</v>
      </c>
      <c r="P29" s="2">
        <v>114.9</v>
      </c>
      <c r="Q29" s="2">
        <v>119.8</v>
      </c>
      <c r="R29" s="2">
        <v>112.2</v>
      </c>
      <c r="S29" s="2">
        <v>113.6</v>
      </c>
      <c r="T29" s="2">
        <v>112.3</v>
      </c>
      <c r="U29" s="2">
        <v>113.4</v>
      </c>
      <c r="V29" s="2">
        <f>VLOOKUP($A29,'Impute housing Missing Value'!$A$1:$C$125,3,0)</f>
        <v>110.5</v>
      </c>
      <c r="W29" s="2">
        <v>111.6</v>
      </c>
      <c r="X29" s="2">
        <v>110.4</v>
      </c>
      <c r="Y29" s="2">
        <v>108.9</v>
      </c>
      <c r="Z29" s="2">
        <v>109.3</v>
      </c>
      <c r="AA29" s="2">
        <v>108.3</v>
      </c>
      <c r="AB29" s="2">
        <v>110.2</v>
      </c>
      <c r="AC29" s="2">
        <v>107.5</v>
      </c>
      <c r="AD29" s="2">
        <v>109.1</v>
      </c>
      <c r="AE29" s="2">
        <v>115.5</v>
      </c>
      <c r="AG29" s="20">
        <f t="shared" si="0"/>
        <v>116</v>
      </c>
      <c r="AH29" s="2">
        <v>112.2</v>
      </c>
      <c r="AI29" s="20">
        <f t="shared" si="1"/>
        <v>110.83333333333333</v>
      </c>
      <c r="AJ29" s="20">
        <f t="shared" si="2"/>
        <v>113.09999999999998</v>
      </c>
      <c r="AK29" s="20">
        <f t="shared" si="3"/>
        <v>108.88333333333334</v>
      </c>
    </row>
    <row r="30" spans="1:37" ht="15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118.9</v>
      </c>
      <c r="F30" s="2">
        <v>118.1</v>
      </c>
      <c r="G30" s="2">
        <v>114.5</v>
      </c>
      <c r="H30" s="2">
        <v>110.4</v>
      </c>
      <c r="I30" s="2">
        <v>102.3</v>
      </c>
      <c r="J30" s="2">
        <v>106.2</v>
      </c>
      <c r="K30" s="2">
        <v>183.5</v>
      </c>
      <c r="L30" s="2">
        <v>105.3</v>
      </c>
      <c r="M30" s="2">
        <v>100.2</v>
      </c>
      <c r="N30" s="2">
        <v>109.6</v>
      </c>
      <c r="O30" s="2">
        <v>111.4</v>
      </c>
      <c r="P30" s="2">
        <v>116</v>
      </c>
      <c r="Q30" s="2">
        <v>120.8</v>
      </c>
      <c r="R30" s="2">
        <v>113.5</v>
      </c>
      <c r="S30" s="2">
        <v>112.5</v>
      </c>
      <c r="T30" s="2">
        <v>109.7</v>
      </c>
      <c r="U30" s="2">
        <v>112</v>
      </c>
      <c r="V30" s="2">
        <v>100.4</v>
      </c>
      <c r="W30" s="2">
        <v>109.7</v>
      </c>
      <c r="X30" s="2">
        <v>110.2</v>
      </c>
      <c r="Y30" s="2">
        <v>108.2</v>
      </c>
      <c r="Z30" s="2">
        <v>109.7</v>
      </c>
      <c r="AA30" s="2">
        <v>108</v>
      </c>
      <c r="AB30" s="2">
        <v>111.3</v>
      </c>
      <c r="AC30" s="2">
        <v>107.3</v>
      </c>
      <c r="AD30" s="2">
        <v>109.4</v>
      </c>
      <c r="AE30" s="2">
        <v>114</v>
      </c>
      <c r="AG30" s="20">
        <f t="shared" si="0"/>
        <v>116.7076923076923</v>
      </c>
      <c r="AH30" s="2">
        <v>113.5</v>
      </c>
      <c r="AI30" s="20">
        <f t="shared" si="1"/>
        <v>106.76666666666667</v>
      </c>
      <c r="AJ30" s="20">
        <f t="shared" si="2"/>
        <v>111.39999999999999</v>
      </c>
      <c r="AK30" s="20">
        <f t="shared" si="3"/>
        <v>108.98333333333333</v>
      </c>
    </row>
    <row r="31" spans="1:37" ht="26.5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117.1</v>
      </c>
      <c r="F31" s="2">
        <v>116.3</v>
      </c>
      <c r="G31" s="2">
        <v>113.3</v>
      </c>
      <c r="H31" s="2">
        <v>111.2</v>
      </c>
      <c r="I31" s="2">
        <v>105.7</v>
      </c>
      <c r="J31" s="2">
        <v>109.9</v>
      </c>
      <c r="K31" s="2">
        <v>171.2</v>
      </c>
      <c r="L31" s="2">
        <v>107.3</v>
      </c>
      <c r="M31" s="2">
        <v>102.7</v>
      </c>
      <c r="N31" s="2">
        <v>108.7</v>
      </c>
      <c r="O31" s="2">
        <v>111.2</v>
      </c>
      <c r="P31" s="2">
        <v>115.4</v>
      </c>
      <c r="Q31" s="2">
        <v>120.2</v>
      </c>
      <c r="R31" s="2">
        <v>112.5</v>
      </c>
      <c r="S31" s="2">
        <v>113.2</v>
      </c>
      <c r="T31" s="2">
        <v>111.2</v>
      </c>
      <c r="U31" s="2">
        <v>112.8</v>
      </c>
      <c r="V31" s="2">
        <v>100.4</v>
      </c>
      <c r="W31" s="2">
        <v>110.9</v>
      </c>
      <c r="X31" s="2">
        <v>110.3</v>
      </c>
      <c r="Y31" s="2">
        <v>108.6</v>
      </c>
      <c r="Z31" s="2">
        <v>109.5</v>
      </c>
      <c r="AA31" s="2">
        <v>108.1</v>
      </c>
      <c r="AB31" s="2">
        <v>110.8</v>
      </c>
      <c r="AC31" s="2">
        <v>107.4</v>
      </c>
      <c r="AD31" s="2">
        <v>109.2</v>
      </c>
      <c r="AE31" s="2">
        <v>114.8</v>
      </c>
      <c r="AG31" s="20">
        <f t="shared" si="0"/>
        <v>116.16923076923079</v>
      </c>
      <c r="AH31" s="2">
        <v>112.5</v>
      </c>
      <c r="AI31" s="20">
        <f t="shared" si="1"/>
        <v>107.2</v>
      </c>
      <c r="AJ31" s="20">
        <f t="shared" si="2"/>
        <v>112.39999999999999</v>
      </c>
      <c r="AK31" s="20">
        <f t="shared" si="3"/>
        <v>108.93333333333334</v>
      </c>
    </row>
    <row r="32" spans="1:37" ht="26.5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117.3</v>
      </c>
      <c r="F32" s="2">
        <v>114.9</v>
      </c>
      <c r="G32" s="2">
        <v>116.2</v>
      </c>
      <c r="H32" s="2">
        <v>112.8</v>
      </c>
      <c r="I32" s="2">
        <v>108.9</v>
      </c>
      <c r="J32" s="2">
        <v>116.6</v>
      </c>
      <c r="K32" s="2">
        <v>178.1</v>
      </c>
      <c r="L32" s="2">
        <v>109.1</v>
      </c>
      <c r="M32" s="2">
        <v>103.6</v>
      </c>
      <c r="N32" s="2">
        <v>109</v>
      </c>
      <c r="O32" s="2">
        <v>111.8</v>
      </c>
      <c r="P32" s="2">
        <v>116</v>
      </c>
      <c r="Q32" s="2">
        <v>122.5</v>
      </c>
      <c r="R32" s="2">
        <v>112.8</v>
      </c>
      <c r="S32" s="2">
        <v>114.6</v>
      </c>
      <c r="T32" s="2">
        <v>113.1</v>
      </c>
      <c r="U32" s="2">
        <v>114.4</v>
      </c>
      <c r="V32" s="2">
        <f>VLOOKUP($A32,'Impute housing Missing Value'!$A$1:$C$125,3,0)</f>
        <v>111.1</v>
      </c>
      <c r="W32" s="2">
        <v>112.6</v>
      </c>
      <c r="X32" s="2">
        <v>111.3</v>
      </c>
      <c r="Y32" s="2">
        <v>109.7</v>
      </c>
      <c r="Z32" s="2">
        <v>109.6</v>
      </c>
      <c r="AA32" s="2">
        <v>108.7</v>
      </c>
      <c r="AB32" s="2">
        <v>111</v>
      </c>
      <c r="AC32" s="2">
        <v>108.2</v>
      </c>
      <c r="AD32" s="2">
        <v>109.8</v>
      </c>
      <c r="AE32" s="2">
        <v>117.4</v>
      </c>
      <c r="AG32" s="20">
        <f t="shared" si="0"/>
        <v>118.21538461538461</v>
      </c>
      <c r="AH32" s="2">
        <v>112.8</v>
      </c>
      <c r="AI32" s="20">
        <f t="shared" si="1"/>
        <v>111.66666666666667</v>
      </c>
      <c r="AJ32" s="20">
        <f t="shared" si="2"/>
        <v>114.03333333333335</v>
      </c>
      <c r="AK32" s="20">
        <f t="shared" si="3"/>
        <v>109.5</v>
      </c>
    </row>
    <row r="33" spans="1:37" ht="26.5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119.8</v>
      </c>
      <c r="F33" s="2">
        <v>116.3</v>
      </c>
      <c r="G33" s="2">
        <v>122.6</v>
      </c>
      <c r="H33" s="2">
        <v>112</v>
      </c>
      <c r="I33" s="2">
        <v>103.2</v>
      </c>
      <c r="J33" s="2">
        <v>110</v>
      </c>
      <c r="K33" s="2">
        <v>192.8</v>
      </c>
      <c r="L33" s="2">
        <v>106.3</v>
      </c>
      <c r="M33" s="2">
        <v>99.5</v>
      </c>
      <c r="N33" s="2">
        <v>110.3</v>
      </c>
      <c r="O33" s="2">
        <v>111.8</v>
      </c>
      <c r="P33" s="2">
        <v>117.1</v>
      </c>
      <c r="Q33" s="2">
        <v>122.9</v>
      </c>
      <c r="R33" s="2">
        <v>114.1</v>
      </c>
      <c r="S33" s="2">
        <v>113.5</v>
      </c>
      <c r="T33" s="2">
        <v>110.3</v>
      </c>
      <c r="U33" s="2">
        <v>113</v>
      </c>
      <c r="V33" s="2">
        <v>100.4</v>
      </c>
      <c r="W33" s="2">
        <v>110</v>
      </c>
      <c r="X33" s="2">
        <v>110.9</v>
      </c>
      <c r="Y33" s="2">
        <v>108.6</v>
      </c>
      <c r="Z33" s="2">
        <v>109.5</v>
      </c>
      <c r="AA33" s="2">
        <v>108.5</v>
      </c>
      <c r="AB33" s="2">
        <v>111.3</v>
      </c>
      <c r="AC33" s="2">
        <v>107.9</v>
      </c>
      <c r="AD33" s="2">
        <v>109.6</v>
      </c>
      <c r="AE33" s="2">
        <v>115</v>
      </c>
      <c r="AG33" s="20">
        <f t="shared" si="0"/>
        <v>118.8153846153846</v>
      </c>
      <c r="AH33" s="2">
        <v>114.1</v>
      </c>
      <c r="AI33" s="20">
        <f t="shared" si="1"/>
        <v>107.10000000000001</v>
      </c>
      <c r="AJ33" s="20">
        <f t="shared" si="2"/>
        <v>112.26666666666667</v>
      </c>
      <c r="AK33" s="20">
        <f t="shared" si="3"/>
        <v>109.23333333333335</v>
      </c>
    </row>
    <row r="34" spans="1:37" ht="26.5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118.1</v>
      </c>
      <c r="F34" s="2">
        <v>115.4</v>
      </c>
      <c r="G34" s="2">
        <v>118.7</v>
      </c>
      <c r="H34" s="2">
        <v>112.5</v>
      </c>
      <c r="I34" s="2">
        <v>106.8</v>
      </c>
      <c r="J34" s="2">
        <v>113.5</v>
      </c>
      <c r="K34" s="2">
        <v>183.1</v>
      </c>
      <c r="L34" s="2">
        <v>108.2</v>
      </c>
      <c r="M34" s="2">
        <v>102.2</v>
      </c>
      <c r="N34" s="2">
        <v>109.4</v>
      </c>
      <c r="O34" s="2">
        <v>111.8</v>
      </c>
      <c r="P34" s="2">
        <v>116.5</v>
      </c>
      <c r="Q34" s="2">
        <v>122.6</v>
      </c>
      <c r="R34" s="2">
        <v>113.1</v>
      </c>
      <c r="S34" s="2">
        <v>114.2</v>
      </c>
      <c r="T34" s="2">
        <v>111.9</v>
      </c>
      <c r="U34" s="2">
        <v>113.8</v>
      </c>
      <c r="V34" s="2">
        <v>100.4</v>
      </c>
      <c r="W34" s="2">
        <v>111.6</v>
      </c>
      <c r="X34" s="2">
        <v>111.1</v>
      </c>
      <c r="Y34" s="2">
        <v>109.3</v>
      </c>
      <c r="Z34" s="2">
        <v>109.5</v>
      </c>
      <c r="AA34" s="2">
        <v>108.6</v>
      </c>
      <c r="AB34" s="2">
        <v>111.2</v>
      </c>
      <c r="AC34" s="2">
        <v>108.1</v>
      </c>
      <c r="AD34" s="2">
        <v>109.7</v>
      </c>
      <c r="AE34" s="2">
        <v>116.3</v>
      </c>
      <c r="AG34" s="20">
        <f t="shared" si="0"/>
        <v>118.36923076923077</v>
      </c>
      <c r="AH34" s="2">
        <v>113.1</v>
      </c>
      <c r="AI34" s="20">
        <f t="shared" si="1"/>
        <v>107.7</v>
      </c>
      <c r="AJ34" s="20">
        <f t="shared" si="2"/>
        <v>113.30000000000001</v>
      </c>
      <c r="AK34" s="20">
        <f t="shared" si="3"/>
        <v>109.39999999999999</v>
      </c>
    </row>
    <row r="35" spans="1:37" ht="26.5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118.4</v>
      </c>
      <c r="F35" s="2">
        <v>115.9</v>
      </c>
      <c r="G35" s="2">
        <v>120.4</v>
      </c>
      <c r="H35" s="2">
        <v>113.8</v>
      </c>
      <c r="I35" s="2">
        <v>109.5</v>
      </c>
      <c r="J35" s="2">
        <v>115.5</v>
      </c>
      <c r="K35" s="2">
        <v>145.69999999999999</v>
      </c>
      <c r="L35" s="2">
        <v>109.5</v>
      </c>
      <c r="M35" s="2">
        <v>102.9</v>
      </c>
      <c r="N35" s="2">
        <v>109.8</v>
      </c>
      <c r="O35" s="2">
        <v>112.1</v>
      </c>
      <c r="P35" s="2">
        <v>116.8</v>
      </c>
      <c r="Q35" s="2">
        <v>118.7</v>
      </c>
      <c r="R35" s="2">
        <v>113.6</v>
      </c>
      <c r="S35" s="2">
        <v>115.8</v>
      </c>
      <c r="T35" s="2">
        <v>114</v>
      </c>
      <c r="U35" s="2">
        <v>115.5</v>
      </c>
      <c r="V35" s="2">
        <f>VLOOKUP($A35,'Impute housing Missing Value'!$A$1:$C$125,3,0)</f>
        <v>110.7</v>
      </c>
      <c r="W35" s="2">
        <v>112.8</v>
      </c>
      <c r="X35" s="2">
        <v>112.1</v>
      </c>
      <c r="Y35" s="2">
        <v>110.1</v>
      </c>
      <c r="Z35" s="2">
        <v>109.9</v>
      </c>
      <c r="AA35" s="2">
        <v>109.2</v>
      </c>
      <c r="AB35" s="2">
        <v>111.6</v>
      </c>
      <c r="AC35" s="2">
        <v>108.1</v>
      </c>
      <c r="AD35" s="2">
        <v>110.1</v>
      </c>
      <c r="AE35" s="2">
        <v>115.5</v>
      </c>
      <c r="AG35" s="20">
        <f t="shared" si="0"/>
        <v>116.07692307692308</v>
      </c>
      <c r="AH35" s="2">
        <v>113.6</v>
      </c>
      <c r="AI35" s="20">
        <f t="shared" si="1"/>
        <v>111.86666666666667</v>
      </c>
      <c r="AJ35" s="20">
        <f t="shared" si="2"/>
        <v>115.10000000000001</v>
      </c>
      <c r="AK35" s="20">
        <f t="shared" si="3"/>
        <v>109.83333333333333</v>
      </c>
    </row>
    <row r="36" spans="1:37" ht="26.5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120.5</v>
      </c>
      <c r="F36" s="2">
        <v>118.1</v>
      </c>
      <c r="G36" s="2">
        <v>128.5</v>
      </c>
      <c r="H36" s="2">
        <v>112.8</v>
      </c>
      <c r="I36" s="2">
        <v>103.4</v>
      </c>
      <c r="J36" s="2">
        <v>110.7</v>
      </c>
      <c r="K36" s="2">
        <v>144.80000000000001</v>
      </c>
      <c r="L36" s="2">
        <v>107.1</v>
      </c>
      <c r="M36" s="2">
        <v>98.6</v>
      </c>
      <c r="N36" s="2">
        <v>111.9</v>
      </c>
      <c r="O36" s="2">
        <v>112.1</v>
      </c>
      <c r="P36" s="2">
        <v>118.1</v>
      </c>
      <c r="Q36" s="2">
        <v>117.8</v>
      </c>
      <c r="R36" s="2">
        <v>115</v>
      </c>
      <c r="S36" s="2">
        <v>114.2</v>
      </c>
      <c r="T36" s="2">
        <v>110.9</v>
      </c>
      <c r="U36" s="2">
        <v>113.7</v>
      </c>
      <c r="V36" s="2">
        <v>100.4</v>
      </c>
      <c r="W36" s="2">
        <v>110.4</v>
      </c>
      <c r="X36" s="2">
        <v>111.3</v>
      </c>
      <c r="Y36" s="2">
        <v>109</v>
      </c>
      <c r="Z36" s="2">
        <v>109.7</v>
      </c>
      <c r="AA36" s="2">
        <v>108.9</v>
      </c>
      <c r="AB36" s="2">
        <v>111.4</v>
      </c>
      <c r="AC36" s="2">
        <v>107.7</v>
      </c>
      <c r="AD36" s="2">
        <v>109.8</v>
      </c>
      <c r="AE36" s="2">
        <v>113.3</v>
      </c>
      <c r="AG36" s="20">
        <f t="shared" si="0"/>
        <v>115.72307692307693</v>
      </c>
      <c r="AH36" s="2">
        <v>115</v>
      </c>
      <c r="AI36" s="20">
        <f t="shared" si="1"/>
        <v>107.36666666666667</v>
      </c>
      <c r="AJ36" s="20">
        <f t="shared" si="2"/>
        <v>112.93333333333334</v>
      </c>
      <c r="AK36" s="20">
        <f t="shared" si="3"/>
        <v>109.41666666666667</v>
      </c>
    </row>
    <row r="37" spans="1:37" ht="26.5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119.1</v>
      </c>
      <c r="F37" s="2">
        <v>116.7</v>
      </c>
      <c r="G37" s="2">
        <v>123.5</v>
      </c>
      <c r="H37" s="2">
        <v>113.4</v>
      </c>
      <c r="I37" s="2">
        <v>107.3</v>
      </c>
      <c r="J37" s="2">
        <v>113.3</v>
      </c>
      <c r="K37" s="2">
        <v>145.4</v>
      </c>
      <c r="L37" s="2">
        <v>108.7</v>
      </c>
      <c r="M37" s="2">
        <v>101.5</v>
      </c>
      <c r="N37" s="2">
        <v>110.5</v>
      </c>
      <c r="O37" s="2">
        <v>112.1</v>
      </c>
      <c r="P37" s="2">
        <v>117.4</v>
      </c>
      <c r="Q37" s="2">
        <v>118.4</v>
      </c>
      <c r="R37" s="2">
        <v>114</v>
      </c>
      <c r="S37" s="2">
        <v>115.2</v>
      </c>
      <c r="T37" s="2">
        <v>112.7</v>
      </c>
      <c r="U37" s="2">
        <v>114.8</v>
      </c>
      <c r="V37" s="2">
        <v>100.4</v>
      </c>
      <c r="W37" s="2">
        <v>111.9</v>
      </c>
      <c r="X37" s="2">
        <v>111.7</v>
      </c>
      <c r="Y37" s="2">
        <v>109.7</v>
      </c>
      <c r="Z37" s="2">
        <v>109.8</v>
      </c>
      <c r="AA37" s="2">
        <v>109</v>
      </c>
      <c r="AB37" s="2">
        <v>111.5</v>
      </c>
      <c r="AC37" s="2">
        <v>107.9</v>
      </c>
      <c r="AD37" s="2">
        <v>110</v>
      </c>
      <c r="AE37" s="2">
        <v>114.5</v>
      </c>
      <c r="AG37" s="20">
        <f t="shared" si="0"/>
        <v>115.94615384615386</v>
      </c>
      <c r="AH37" s="2">
        <v>114</v>
      </c>
      <c r="AI37" s="20">
        <f t="shared" si="1"/>
        <v>108</v>
      </c>
      <c r="AJ37" s="20">
        <f t="shared" si="2"/>
        <v>114.23333333333333</v>
      </c>
      <c r="AK37" s="20">
        <f t="shared" si="3"/>
        <v>109.64999999999999</v>
      </c>
    </row>
    <row r="38" spans="1:37" ht="15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118.9</v>
      </c>
      <c r="F38" s="2">
        <v>117.1</v>
      </c>
      <c r="G38" s="2">
        <v>120.5</v>
      </c>
      <c r="H38" s="2">
        <v>114.4</v>
      </c>
      <c r="I38" s="2">
        <v>109</v>
      </c>
      <c r="J38" s="2">
        <v>115.5</v>
      </c>
      <c r="K38" s="2">
        <v>123.9</v>
      </c>
      <c r="L38" s="2">
        <v>109.6</v>
      </c>
      <c r="M38" s="2">
        <v>101.8</v>
      </c>
      <c r="N38" s="2">
        <v>110.2</v>
      </c>
      <c r="O38" s="2">
        <v>112.4</v>
      </c>
      <c r="P38" s="2">
        <v>117.3</v>
      </c>
      <c r="Q38" s="2">
        <v>116</v>
      </c>
      <c r="R38" s="2">
        <v>114</v>
      </c>
      <c r="S38" s="2">
        <v>116.5</v>
      </c>
      <c r="T38" s="2">
        <v>114.5</v>
      </c>
      <c r="U38" s="2">
        <v>116.2</v>
      </c>
      <c r="V38" s="2">
        <f>VLOOKUP($A38,'Impute housing Missing Value'!$A$1:$C$125,3,0)</f>
        <v>111.6</v>
      </c>
      <c r="W38" s="2">
        <v>113</v>
      </c>
      <c r="X38" s="2">
        <v>112.6</v>
      </c>
      <c r="Y38" s="2">
        <v>110.6</v>
      </c>
      <c r="Z38" s="2">
        <v>110.5</v>
      </c>
      <c r="AA38" s="2">
        <v>109.6</v>
      </c>
      <c r="AB38" s="2">
        <v>111.8</v>
      </c>
      <c r="AC38" s="2">
        <v>108.3</v>
      </c>
      <c r="AD38" s="2">
        <v>110.6</v>
      </c>
      <c r="AE38" s="2">
        <v>114.2</v>
      </c>
      <c r="AG38" s="20">
        <f t="shared" si="0"/>
        <v>114.35384615384616</v>
      </c>
      <c r="AH38" s="2">
        <v>114</v>
      </c>
      <c r="AI38" s="20">
        <f t="shared" si="1"/>
        <v>112.39999999999999</v>
      </c>
      <c r="AJ38" s="20">
        <f t="shared" si="2"/>
        <v>115.73333333333333</v>
      </c>
      <c r="AK38" s="20">
        <f t="shared" si="3"/>
        <v>110.23333333333333</v>
      </c>
    </row>
    <row r="39" spans="1:37" ht="15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121.2</v>
      </c>
      <c r="F39" s="2">
        <v>122</v>
      </c>
      <c r="G39" s="2">
        <v>129.9</v>
      </c>
      <c r="H39" s="2">
        <v>113.6</v>
      </c>
      <c r="I39" s="2">
        <v>102.9</v>
      </c>
      <c r="J39" s="2">
        <v>112.1</v>
      </c>
      <c r="K39" s="2">
        <v>118.9</v>
      </c>
      <c r="L39" s="2">
        <v>107.5</v>
      </c>
      <c r="M39" s="2">
        <v>96.9</v>
      </c>
      <c r="N39" s="2">
        <v>112.7</v>
      </c>
      <c r="O39" s="2">
        <v>112.1</v>
      </c>
      <c r="P39" s="2">
        <v>119</v>
      </c>
      <c r="Q39" s="2">
        <v>115.5</v>
      </c>
      <c r="R39" s="2">
        <v>115.7</v>
      </c>
      <c r="S39" s="2">
        <v>114.8</v>
      </c>
      <c r="T39" s="2">
        <v>111.3</v>
      </c>
      <c r="U39" s="2">
        <v>114.3</v>
      </c>
      <c r="V39" s="2">
        <v>100.4</v>
      </c>
      <c r="W39" s="2">
        <v>111</v>
      </c>
      <c r="X39" s="2">
        <v>111.9</v>
      </c>
      <c r="Y39" s="2">
        <v>109.7</v>
      </c>
      <c r="Z39" s="2">
        <v>110.8</v>
      </c>
      <c r="AA39" s="2">
        <v>109.8</v>
      </c>
      <c r="AB39" s="2">
        <v>111.5</v>
      </c>
      <c r="AC39" s="2">
        <v>108</v>
      </c>
      <c r="AD39" s="2">
        <v>110.5</v>
      </c>
      <c r="AE39" s="2">
        <v>112.9</v>
      </c>
      <c r="AG39" s="20">
        <f t="shared" si="0"/>
        <v>114.17692307692307</v>
      </c>
      <c r="AH39" s="2">
        <v>115.7</v>
      </c>
      <c r="AI39" s="20">
        <f t="shared" si="1"/>
        <v>107.76666666666667</v>
      </c>
      <c r="AJ39" s="20">
        <f t="shared" si="2"/>
        <v>113.46666666666665</v>
      </c>
      <c r="AK39" s="20">
        <f t="shared" si="3"/>
        <v>110.05</v>
      </c>
    </row>
    <row r="40" spans="1:37" ht="26.5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119.6</v>
      </c>
      <c r="F40" s="2">
        <v>118.8</v>
      </c>
      <c r="G40" s="2">
        <v>124.1</v>
      </c>
      <c r="H40" s="2">
        <v>114.1</v>
      </c>
      <c r="I40" s="2">
        <v>106.8</v>
      </c>
      <c r="J40" s="2">
        <v>113.9</v>
      </c>
      <c r="K40" s="2">
        <v>122.2</v>
      </c>
      <c r="L40" s="2">
        <v>108.9</v>
      </c>
      <c r="M40" s="2">
        <v>100.2</v>
      </c>
      <c r="N40" s="2">
        <v>111</v>
      </c>
      <c r="O40" s="2">
        <v>112.3</v>
      </c>
      <c r="P40" s="2">
        <v>118.1</v>
      </c>
      <c r="Q40" s="2">
        <v>115.8</v>
      </c>
      <c r="R40" s="2">
        <v>114.5</v>
      </c>
      <c r="S40" s="2">
        <v>115.8</v>
      </c>
      <c r="T40" s="2">
        <v>113.2</v>
      </c>
      <c r="U40" s="2">
        <v>115.4</v>
      </c>
      <c r="V40" s="2">
        <v>100.4</v>
      </c>
      <c r="W40" s="2">
        <v>112.2</v>
      </c>
      <c r="X40" s="2">
        <v>112.3</v>
      </c>
      <c r="Y40" s="2">
        <v>110.3</v>
      </c>
      <c r="Z40" s="2">
        <v>110.7</v>
      </c>
      <c r="AA40" s="2">
        <v>109.7</v>
      </c>
      <c r="AB40" s="2">
        <v>111.6</v>
      </c>
      <c r="AC40" s="2">
        <v>108.2</v>
      </c>
      <c r="AD40" s="2">
        <v>110.6</v>
      </c>
      <c r="AE40" s="2">
        <v>113.6</v>
      </c>
      <c r="AG40" s="20">
        <f t="shared" si="0"/>
        <v>114.29230769230767</v>
      </c>
      <c r="AH40" s="2">
        <v>114.5</v>
      </c>
      <c r="AI40" s="20">
        <f t="shared" si="1"/>
        <v>108.30000000000001</v>
      </c>
      <c r="AJ40" s="20">
        <f t="shared" si="2"/>
        <v>114.8</v>
      </c>
      <c r="AK40" s="20">
        <f t="shared" si="3"/>
        <v>110.18333333333334</v>
      </c>
    </row>
    <row r="41" spans="1:37" ht="15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119.4</v>
      </c>
      <c r="F41" s="2">
        <v>117.7</v>
      </c>
      <c r="G41" s="2">
        <v>121.2</v>
      </c>
      <c r="H41" s="2">
        <v>115</v>
      </c>
      <c r="I41" s="2">
        <v>109</v>
      </c>
      <c r="J41" s="2">
        <v>116.6</v>
      </c>
      <c r="K41" s="2">
        <v>116</v>
      </c>
      <c r="L41" s="2">
        <v>109.8</v>
      </c>
      <c r="M41" s="2">
        <v>101.1</v>
      </c>
      <c r="N41" s="2">
        <v>110.4</v>
      </c>
      <c r="O41" s="2">
        <v>112.9</v>
      </c>
      <c r="P41" s="2">
        <v>117.8</v>
      </c>
      <c r="Q41" s="2">
        <v>115.3</v>
      </c>
      <c r="R41" s="2">
        <v>114.2</v>
      </c>
      <c r="S41" s="2">
        <v>117.1</v>
      </c>
      <c r="T41" s="2">
        <v>114.5</v>
      </c>
      <c r="U41" s="2">
        <v>116.7</v>
      </c>
      <c r="V41" s="2">
        <f>VLOOKUP($A41,'Impute housing Missing Value'!$A$1:$C$125,3,0)</f>
        <v>112.5</v>
      </c>
      <c r="W41" s="2">
        <v>113.2</v>
      </c>
      <c r="X41" s="2">
        <v>112.9</v>
      </c>
      <c r="Y41" s="2">
        <v>110.9</v>
      </c>
      <c r="Z41" s="2">
        <v>110.8</v>
      </c>
      <c r="AA41" s="2">
        <v>109.9</v>
      </c>
      <c r="AB41" s="2">
        <v>112</v>
      </c>
      <c r="AC41" s="2">
        <v>108.7</v>
      </c>
      <c r="AD41" s="2">
        <v>110.9</v>
      </c>
      <c r="AE41" s="2">
        <v>114</v>
      </c>
      <c r="AG41" s="20">
        <f t="shared" si="0"/>
        <v>114.01538461538462</v>
      </c>
      <c r="AH41" s="2">
        <v>114.2</v>
      </c>
      <c r="AI41" s="20">
        <f t="shared" si="1"/>
        <v>112.86666666666667</v>
      </c>
      <c r="AJ41" s="20">
        <f t="shared" si="2"/>
        <v>116.10000000000001</v>
      </c>
      <c r="AK41" s="20">
        <f t="shared" si="3"/>
        <v>110.53333333333335</v>
      </c>
    </row>
    <row r="42" spans="1:37" ht="15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121.9</v>
      </c>
      <c r="F42" s="2">
        <v>122</v>
      </c>
      <c r="G42" s="2">
        <v>124.5</v>
      </c>
      <c r="H42" s="2">
        <v>115.2</v>
      </c>
      <c r="I42" s="2">
        <v>102.5</v>
      </c>
      <c r="J42" s="2">
        <v>114.1</v>
      </c>
      <c r="K42" s="2">
        <v>111.5</v>
      </c>
      <c r="L42" s="2">
        <v>108.2</v>
      </c>
      <c r="M42" s="2">
        <v>95.4</v>
      </c>
      <c r="N42" s="2">
        <v>113.5</v>
      </c>
      <c r="O42" s="2">
        <v>112.1</v>
      </c>
      <c r="P42" s="2">
        <v>119.9</v>
      </c>
      <c r="Q42" s="2">
        <v>115.2</v>
      </c>
      <c r="R42" s="2">
        <v>116.2</v>
      </c>
      <c r="S42" s="2">
        <v>115.3</v>
      </c>
      <c r="T42" s="2">
        <v>111.7</v>
      </c>
      <c r="U42" s="2">
        <v>114.7</v>
      </c>
      <c r="V42" s="2">
        <v>100.4</v>
      </c>
      <c r="W42" s="2">
        <v>111.1</v>
      </c>
      <c r="X42" s="2">
        <v>112.6</v>
      </c>
      <c r="Y42" s="2">
        <v>110.4</v>
      </c>
      <c r="Z42" s="2">
        <v>111.3</v>
      </c>
      <c r="AA42" s="2">
        <v>110.3</v>
      </c>
      <c r="AB42" s="2">
        <v>111.6</v>
      </c>
      <c r="AC42" s="2">
        <v>108.7</v>
      </c>
      <c r="AD42" s="2">
        <v>111</v>
      </c>
      <c r="AE42" s="2">
        <v>113.1</v>
      </c>
      <c r="AG42" s="20">
        <f t="shared" si="0"/>
        <v>113.53846153846153</v>
      </c>
      <c r="AH42" s="2">
        <v>116.2</v>
      </c>
      <c r="AI42" s="20">
        <f t="shared" si="1"/>
        <v>108.03333333333335</v>
      </c>
      <c r="AJ42" s="20">
        <f t="shared" si="2"/>
        <v>113.89999999999999</v>
      </c>
      <c r="AK42" s="20">
        <f t="shared" si="3"/>
        <v>110.55000000000001</v>
      </c>
    </row>
    <row r="43" spans="1:37" ht="26.5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120.2</v>
      </c>
      <c r="F43" s="2">
        <v>119.2</v>
      </c>
      <c r="G43" s="2">
        <v>122.5</v>
      </c>
      <c r="H43" s="2">
        <v>115.1</v>
      </c>
      <c r="I43" s="2">
        <v>106.6</v>
      </c>
      <c r="J43" s="2">
        <v>115.4</v>
      </c>
      <c r="K43" s="2">
        <v>114.5</v>
      </c>
      <c r="L43" s="2">
        <v>109.3</v>
      </c>
      <c r="M43" s="2">
        <v>99.2</v>
      </c>
      <c r="N43" s="2">
        <v>111.4</v>
      </c>
      <c r="O43" s="2">
        <v>112.6</v>
      </c>
      <c r="P43" s="2">
        <v>118.8</v>
      </c>
      <c r="Q43" s="2">
        <v>115.3</v>
      </c>
      <c r="R43" s="2">
        <v>114.7</v>
      </c>
      <c r="S43" s="2">
        <v>116.4</v>
      </c>
      <c r="T43" s="2">
        <v>113.3</v>
      </c>
      <c r="U43" s="2">
        <v>115.9</v>
      </c>
      <c r="V43" s="2">
        <v>100.4</v>
      </c>
      <c r="W43" s="2">
        <v>112.4</v>
      </c>
      <c r="X43" s="2">
        <v>112.8</v>
      </c>
      <c r="Y43" s="2">
        <v>110.7</v>
      </c>
      <c r="Z43" s="2">
        <v>111.1</v>
      </c>
      <c r="AA43" s="2">
        <v>110.1</v>
      </c>
      <c r="AB43" s="2">
        <v>111.8</v>
      </c>
      <c r="AC43" s="2">
        <v>108.7</v>
      </c>
      <c r="AD43" s="2">
        <v>110.9</v>
      </c>
      <c r="AE43" s="2">
        <v>113.6</v>
      </c>
      <c r="AG43" s="20">
        <f t="shared" si="0"/>
        <v>113.85384615384615</v>
      </c>
      <c r="AH43" s="2">
        <v>114.7</v>
      </c>
      <c r="AI43" s="20">
        <f t="shared" si="1"/>
        <v>108.53333333333335</v>
      </c>
      <c r="AJ43" s="20">
        <f t="shared" si="2"/>
        <v>115.2</v>
      </c>
      <c r="AK43" s="20">
        <f t="shared" si="3"/>
        <v>110.55</v>
      </c>
    </row>
    <row r="44" spans="1:37" ht="15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120.1</v>
      </c>
      <c r="F44" s="2">
        <v>118.1</v>
      </c>
      <c r="G44" s="2">
        <v>120.7</v>
      </c>
      <c r="H44" s="2">
        <v>116.1</v>
      </c>
      <c r="I44" s="2">
        <v>109.3</v>
      </c>
      <c r="J44" s="2">
        <v>119.6</v>
      </c>
      <c r="K44" s="2">
        <v>117.9</v>
      </c>
      <c r="L44" s="2">
        <v>110.2</v>
      </c>
      <c r="M44" s="2">
        <v>101.2</v>
      </c>
      <c r="N44" s="2">
        <v>110.7</v>
      </c>
      <c r="O44" s="2">
        <v>113</v>
      </c>
      <c r="P44" s="2">
        <v>118.3</v>
      </c>
      <c r="Q44" s="2">
        <v>116.2</v>
      </c>
      <c r="R44" s="2">
        <v>114.6</v>
      </c>
      <c r="S44" s="2">
        <v>117.5</v>
      </c>
      <c r="T44" s="2">
        <v>114.9</v>
      </c>
      <c r="U44" s="2">
        <v>117.2</v>
      </c>
      <c r="V44" s="2">
        <f>VLOOKUP($A44,'Impute housing Missing Value'!$A$1:$C$125,3,0)</f>
        <v>113.2</v>
      </c>
      <c r="W44" s="2">
        <v>113.4</v>
      </c>
      <c r="X44" s="2">
        <v>113.4</v>
      </c>
      <c r="Y44" s="2">
        <v>111.4</v>
      </c>
      <c r="Z44" s="2">
        <v>111.2</v>
      </c>
      <c r="AA44" s="2">
        <v>110.2</v>
      </c>
      <c r="AB44" s="2">
        <v>112.4</v>
      </c>
      <c r="AC44" s="2">
        <v>108.9</v>
      </c>
      <c r="AD44" s="2">
        <v>111.3</v>
      </c>
      <c r="AE44" s="2">
        <v>114.6</v>
      </c>
      <c r="AG44" s="20">
        <f t="shared" si="0"/>
        <v>114.72307692307693</v>
      </c>
      <c r="AH44" s="2">
        <v>114.6</v>
      </c>
      <c r="AI44" s="20">
        <f t="shared" si="1"/>
        <v>113.33333333333333</v>
      </c>
      <c r="AJ44" s="20">
        <f t="shared" si="2"/>
        <v>116.53333333333335</v>
      </c>
      <c r="AK44" s="20">
        <f t="shared" si="3"/>
        <v>110.89999999999999</v>
      </c>
    </row>
    <row r="45" spans="1:37" ht="15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122.1</v>
      </c>
      <c r="F45" s="2">
        <v>121.4</v>
      </c>
      <c r="G45" s="2">
        <v>121.5</v>
      </c>
      <c r="H45" s="2">
        <v>116.2</v>
      </c>
      <c r="I45" s="2">
        <v>102.8</v>
      </c>
      <c r="J45" s="2">
        <v>117.7</v>
      </c>
      <c r="K45" s="2">
        <v>113.3</v>
      </c>
      <c r="L45" s="2">
        <v>108.9</v>
      </c>
      <c r="M45" s="2">
        <v>96.3</v>
      </c>
      <c r="N45" s="2">
        <v>114.1</v>
      </c>
      <c r="O45" s="2">
        <v>112.2</v>
      </c>
      <c r="P45" s="2">
        <v>120.5</v>
      </c>
      <c r="Q45" s="2">
        <v>116</v>
      </c>
      <c r="R45" s="2">
        <v>116.7</v>
      </c>
      <c r="S45" s="2">
        <v>115.8</v>
      </c>
      <c r="T45" s="2">
        <v>112.1</v>
      </c>
      <c r="U45" s="2">
        <v>115.2</v>
      </c>
      <c r="V45" s="2">
        <v>100.4</v>
      </c>
      <c r="W45" s="2">
        <v>110.9</v>
      </c>
      <c r="X45" s="2">
        <v>113</v>
      </c>
      <c r="Y45" s="2">
        <v>110.8</v>
      </c>
      <c r="Z45" s="2">
        <v>111.6</v>
      </c>
      <c r="AA45" s="2">
        <v>110.9</v>
      </c>
      <c r="AB45" s="2">
        <v>111.8</v>
      </c>
      <c r="AC45" s="2">
        <v>109.2</v>
      </c>
      <c r="AD45" s="2">
        <v>111.4</v>
      </c>
      <c r="AE45" s="2">
        <v>113.7</v>
      </c>
      <c r="AG45" s="20">
        <f t="shared" si="0"/>
        <v>114.07692307692308</v>
      </c>
      <c r="AH45" s="2">
        <v>116.7</v>
      </c>
      <c r="AI45" s="20">
        <f t="shared" si="1"/>
        <v>108.10000000000001</v>
      </c>
      <c r="AJ45" s="20">
        <f t="shared" si="2"/>
        <v>114.36666666666666</v>
      </c>
      <c r="AK45" s="20">
        <f t="shared" si="3"/>
        <v>110.94999999999999</v>
      </c>
    </row>
    <row r="46" spans="1:37" ht="26.5" thickBot="1" x14ac:dyDescent="0.4">
      <c r="A46">
        <v>45</v>
      </c>
      <c r="B46" s="1" t="s">
        <v>34</v>
      </c>
      <c r="C46" s="2">
        <v>2014</v>
      </c>
      <c r="D46" s="1" t="s">
        <v>46</v>
      </c>
      <c r="E46" s="2">
        <v>120.7</v>
      </c>
      <c r="F46" s="2">
        <v>119.3</v>
      </c>
      <c r="G46" s="2">
        <v>121</v>
      </c>
      <c r="H46" s="2">
        <v>116.1</v>
      </c>
      <c r="I46" s="2">
        <v>106.9</v>
      </c>
      <c r="J46" s="2">
        <v>118.7</v>
      </c>
      <c r="K46" s="2">
        <v>116.3</v>
      </c>
      <c r="L46" s="2">
        <v>109.8</v>
      </c>
      <c r="M46" s="2">
        <v>99.6</v>
      </c>
      <c r="N46" s="2">
        <v>111.8</v>
      </c>
      <c r="O46" s="2">
        <v>112.7</v>
      </c>
      <c r="P46" s="2">
        <v>119.3</v>
      </c>
      <c r="Q46" s="2">
        <v>116.1</v>
      </c>
      <c r="R46" s="2">
        <v>115.2</v>
      </c>
      <c r="S46" s="2">
        <v>116.8</v>
      </c>
      <c r="T46" s="2">
        <v>113.7</v>
      </c>
      <c r="U46" s="2">
        <v>116.4</v>
      </c>
      <c r="V46" s="2">
        <v>100.4</v>
      </c>
      <c r="W46" s="2">
        <v>112.5</v>
      </c>
      <c r="X46" s="2">
        <v>113.2</v>
      </c>
      <c r="Y46" s="2">
        <v>111.2</v>
      </c>
      <c r="Z46" s="2">
        <v>111.4</v>
      </c>
      <c r="AA46" s="2">
        <v>110.6</v>
      </c>
      <c r="AB46" s="2">
        <v>112</v>
      </c>
      <c r="AC46" s="2">
        <v>109</v>
      </c>
      <c r="AD46" s="2">
        <v>111.3</v>
      </c>
      <c r="AE46" s="2">
        <v>114.2</v>
      </c>
      <c r="AG46" s="20">
        <f t="shared" si="0"/>
        <v>114.48461538461537</v>
      </c>
      <c r="AH46" s="2">
        <v>115.2</v>
      </c>
      <c r="AI46" s="20">
        <f t="shared" si="1"/>
        <v>108.7</v>
      </c>
      <c r="AJ46" s="20">
        <f t="shared" si="2"/>
        <v>115.63333333333333</v>
      </c>
      <c r="AK46" s="20">
        <f t="shared" si="3"/>
        <v>110.91666666666667</v>
      </c>
    </row>
    <row r="47" spans="1:37" ht="15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120.2</v>
      </c>
      <c r="F47" s="2">
        <v>118.9</v>
      </c>
      <c r="G47" s="2">
        <v>118.1</v>
      </c>
      <c r="H47" s="2">
        <v>117</v>
      </c>
      <c r="I47" s="2">
        <v>109.7</v>
      </c>
      <c r="J47" s="2">
        <v>125.5</v>
      </c>
      <c r="K47" s="2">
        <v>120.5</v>
      </c>
      <c r="L47" s="2">
        <v>111</v>
      </c>
      <c r="M47" s="2">
        <v>102.6</v>
      </c>
      <c r="N47" s="2">
        <v>111.2</v>
      </c>
      <c r="O47" s="2">
        <v>113.5</v>
      </c>
      <c r="P47" s="2">
        <v>118.7</v>
      </c>
      <c r="Q47" s="2">
        <v>117.2</v>
      </c>
      <c r="R47" s="2">
        <v>115.4</v>
      </c>
      <c r="S47" s="2">
        <v>118.1</v>
      </c>
      <c r="T47" s="2">
        <v>116.1</v>
      </c>
      <c r="U47" s="2">
        <v>117.8</v>
      </c>
      <c r="V47" s="2">
        <f>VLOOKUP($A47,'Impute housing Missing Value'!$A$1:$C$125,3,0)</f>
        <v>113.9</v>
      </c>
      <c r="W47" s="2">
        <v>113.4</v>
      </c>
      <c r="X47" s="2">
        <v>113.7</v>
      </c>
      <c r="Y47" s="2">
        <v>111.8</v>
      </c>
      <c r="Z47" s="2">
        <v>111.2</v>
      </c>
      <c r="AA47" s="2">
        <v>110.5</v>
      </c>
      <c r="AB47" s="2">
        <v>113</v>
      </c>
      <c r="AC47" s="2">
        <v>108.9</v>
      </c>
      <c r="AD47" s="2">
        <v>111.5</v>
      </c>
      <c r="AE47" s="2">
        <v>115.4</v>
      </c>
      <c r="AG47" s="20">
        <f t="shared" si="0"/>
        <v>115.70000000000002</v>
      </c>
      <c r="AH47" s="2">
        <v>115.4</v>
      </c>
      <c r="AI47" s="20">
        <f t="shared" si="1"/>
        <v>113.66666666666667</v>
      </c>
      <c r="AJ47" s="20">
        <f t="shared" si="2"/>
        <v>117.33333333333333</v>
      </c>
      <c r="AK47" s="20">
        <f t="shared" si="3"/>
        <v>111.14999999999999</v>
      </c>
    </row>
    <row r="48" spans="1:37" ht="15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122.5</v>
      </c>
      <c r="F48" s="2">
        <v>121.7</v>
      </c>
      <c r="G48" s="2">
        <v>113.3</v>
      </c>
      <c r="H48" s="2">
        <v>117</v>
      </c>
      <c r="I48" s="2">
        <v>103.1</v>
      </c>
      <c r="J48" s="2">
        <v>126.7</v>
      </c>
      <c r="K48" s="2">
        <v>121.2</v>
      </c>
      <c r="L48" s="2">
        <v>111</v>
      </c>
      <c r="M48" s="2">
        <v>100.3</v>
      </c>
      <c r="N48" s="2">
        <v>115.3</v>
      </c>
      <c r="O48" s="2">
        <v>112.7</v>
      </c>
      <c r="P48" s="2">
        <v>121</v>
      </c>
      <c r="Q48" s="2">
        <v>118.2</v>
      </c>
      <c r="R48" s="2">
        <v>117.6</v>
      </c>
      <c r="S48" s="2">
        <v>116.3</v>
      </c>
      <c r="T48" s="2">
        <v>112.5</v>
      </c>
      <c r="U48" s="2">
        <v>115.7</v>
      </c>
      <c r="V48" s="2">
        <v>100.4</v>
      </c>
      <c r="W48" s="2">
        <v>110.9</v>
      </c>
      <c r="X48" s="2">
        <v>113.4</v>
      </c>
      <c r="Y48" s="2">
        <v>111</v>
      </c>
      <c r="Z48" s="2">
        <v>111.2</v>
      </c>
      <c r="AA48" s="2">
        <v>111.2</v>
      </c>
      <c r="AB48" s="2">
        <v>112.5</v>
      </c>
      <c r="AC48" s="2">
        <v>109.1</v>
      </c>
      <c r="AD48" s="2">
        <v>111.4</v>
      </c>
      <c r="AE48" s="2">
        <v>114.7</v>
      </c>
      <c r="AG48" s="20">
        <f t="shared" si="0"/>
        <v>115.69230769230771</v>
      </c>
      <c r="AH48" s="2">
        <v>117.6</v>
      </c>
      <c r="AI48" s="20">
        <f t="shared" si="1"/>
        <v>108.23333333333335</v>
      </c>
      <c r="AJ48" s="20">
        <f t="shared" si="2"/>
        <v>114.83333333333333</v>
      </c>
      <c r="AK48" s="20">
        <f t="shared" si="3"/>
        <v>111.06666666666666</v>
      </c>
    </row>
    <row r="49" spans="1:37" ht="26.5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120.9</v>
      </c>
      <c r="F49" s="2">
        <v>119.9</v>
      </c>
      <c r="G49" s="2">
        <v>116.2</v>
      </c>
      <c r="H49" s="2">
        <v>117</v>
      </c>
      <c r="I49" s="2">
        <v>107.3</v>
      </c>
      <c r="J49" s="2">
        <v>126.1</v>
      </c>
      <c r="K49" s="2">
        <v>120.7</v>
      </c>
      <c r="L49" s="2">
        <v>111</v>
      </c>
      <c r="M49" s="2">
        <v>101.8</v>
      </c>
      <c r="N49" s="2">
        <v>112.6</v>
      </c>
      <c r="O49" s="2">
        <v>113.2</v>
      </c>
      <c r="P49" s="2">
        <v>119.8</v>
      </c>
      <c r="Q49" s="2">
        <v>117.6</v>
      </c>
      <c r="R49" s="2">
        <v>116</v>
      </c>
      <c r="S49" s="2">
        <v>117.4</v>
      </c>
      <c r="T49" s="2">
        <v>114.6</v>
      </c>
      <c r="U49" s="2">
        <v>117</v>
      </c>
      <c r="V49" s="2">
        <v>100.4</v>
      </c>
      <c r="W49" s="2">
        <v>112.5</v>
      </c>
      <c r="X49" s="2">
        <v>113.6</v>
      </c>
      <c r="Y49" s="2">
        <v>111.5</v>
      </c>
      <c r="Z49" s="2">
        <v>111.2</v>
      </c>
      <c r="AA49" s="2">
        <v>110.9</v>
      </c>
      <c r="AB49" s="2">
        <v>112.7</v>
      </c>
      <c r="AC49" s="2">
        <v>109</v>
      </c>
      <c r="AD49" s="2">
        <v>111.5</v>
      </c>
      <c r="AE49" s="2">
        <v>115.1</v>
      </c>
      <c r="AG49" s="20">
        <f t="shared" si="0"/>
        <v>115.69999999999999</v>
      </c>
      <c r="AH49" s="2">
        <v>116</v>
      </c>
      <c r="AI49" s="20">
        <f t="shared" si="1"/>
        <v>108.83333333333333</v>
      </c>
      <c r="AJ49" s="20">
        <f t="shared" si="2"/>
        <v>116.33333333333333</v>
      </c>
      <c r="AK49" s="20">
        <f t="shared" si="3"/>
        <v>111.13333333333333</v>
      </c>
    </row>
    <row r="50" spans="1:37" ht="15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120.3</v>
      </c>
      <c r="F50" s="2">
        <v>120.2</v>
      </c>
      <c r="G50" s="2">
        <v>116.9</v>
      </c>
      <c r="H50" s="2">
        <v>118</v>
      </c>
      <c r="I50" s="2">
        <v>110.1</v>
      </c>
      <c r="J50" s="2">
        <v>126.3</v>
      </c>
      <c r="K50" s="2">
        <v>123.9</v>
      </c>
      <c r="L50" s="2">
        <v>111.5</v>
      </c>
      <c r="M50" s="2">
        <v>103.5</v>
      </c>
      <c r="N50" s="2">
        <v>111.6</v>
      </c>
      <c r="O50" s="2">
        <v>114.2</v>
      </c>
      <c r="P50" s="2">
        <v>119.2</v>
      </c>
      <c r="Q50" s="2">
        <v>118.2</v>
      </c>
      <c r="R50" s="2">
        <v>116.3</v>
      </c>
      <c r="S50" s="2">
        <v>118.7</v>
      </c>
      <c r="T50" s="2">
        <v>116.8</v>
      </c>
      <c r="U50" s="2">
        <v>118.5</v>
      </c>
      <c r="V50" s="2">
        <f>VLOOKUP($A50,'Impute housing Missing Value'!$A$1:$C$125,3,0)</f>
        <v>114.3</v>
      </c>
      <c r="W50" s="2">
        <v>113.4</v>
      </c>
      <c r="X50" s="2">
        <v>114.1</v>
      </c>
      <c r="Y50" s="2">
        <v>112.1</v>
      </c>
      <c r="Z50" s="2">
        <v>111.4</v>
      </c>
      <c r="AA50" s="2">
        <v>110.9</v>
      </c>
      <c r="AB50" s="2">
        <v>113.1</v>
      </c>
      <c r="AC50" s="2">
        <v>108.9</v>
      </c>
      <c r="AD50" s="2">
        <v>111.8</v>
      </c>
      <c r="AE50" s="2">
        <v>116</v>
      </c>
      <c r="AG50" s="20">
        <f t="shared" si="0"/>
        <v>116.45384615384614</v>
      </c>
      <c r="AH50" s="2">
        <v>116.3</v>
      </c>
      <c r="AI50" s="20">
        <f t="shared" si="1"/>
        <v>113.93333333333332</v>
      </c>
      <c r="AJ50" s="20">
        <f t="shared" si="2"/>
        <v>118</v>
      </c>
      <c r="AK50" s="20">
        <f t="shared" si="3"/>
        <v>111.36666666666666</v>
      </c>
    </row>
    <row r="51" spans="1:37" ht="15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122.7</v>
      </c>
      <c r="F51" s="2">
        <v>124.1</v>
      </c>
      <c r="G51" s="2">
        <v>114.2</v>
      </c>
      <c r="H51" s="2">
        <v>119.1</v>
      </c>
      <c r="I51" s="2">
        <v>103.5</v>
      </c>
      <c r="J51" s="2">
        <v>129.19999999999999</v>
      </c>
      <c r="K51" s="2">
        <v>127</v>
      </c>
      <c r="L51" s="2">
        <v>112.6</v>
      </c>
      <c r="M51" s="2">
        <v>101.3</v>
      </c>
      <c r="N51" s="2">
        <v>117</v>
      </c>
      <c r="O51" s="2">
        <v>112.9</v>
      </c>
      <c r="P51" s="2">
        <v>121.7</v>
      </c>
      <c r="Q51" s="2">
        <v>120</v>
      </c>
      <c r="R51" s="2">
        <v>118.3</v>
      </c>
      <c r="S51" s="2">
        <v>116.8</v>
      </c>
      <c r="T51" s="2">
        <v>112.9</v>
      </c>
      <c r="U51" s="2">
        <v>116.2</v>
      </c>
      <c r="V51" s="2">
        <v>100.4</v>
      </c>
      <c r="W51" s="2">
        <v>111.1</v>
      </c>
      <c r="X51" s="2">
        <v>114.1</v>
      </c>
      <c r="Y51" s="2">
        <v>111.2</v>
      </c>
      <c r="Z51" s="2">
        <v>111.3</v>
      </c>
      <c r="AA51" s="2">
        <v>111.5</v>
      </c>
      <c r="AB51" s="2">
        <v>112.9</v>
      </c>
      <c r="AC51" s="2">
        <v>109.3</v>
      </c>
      <c r="AD51" s="2">
        <v>111.7</v>
      </c>
      <c r="AE51" s="2">
        <v>115.6</v>
      </c>
      <c r="AG51" s="20">
        <f t="shared" si="0"/>
        <v>117.33076923076925</v>
      </c>
      <c r="AH51" s="2">
        <v>118.3</v>
      </c>
      <c r="AI51" s="20">
        <f t="shared" si="1"/>
        <v>108.53333333333335</v>
      </c>
      <c r="AJ51" s="20">
        <f t="shared" si="2"/>
        <v>115.3</v>
      </c>
      <c r="AK51" s="20">
        <f t="shared" si="3"/>
        <v>111.31666666666666</v>
      </c>
    </row>
    <row r="52" spans="1:37" ht="26.5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121.1</v>
      </c>
      <c r="F52" s="2">
        <v>121.6</v>
      </c>
      <c r="G52" s="2">
        <v>115.9</v>
      </c>
      <c r="H52" s="2">
        <v>118.4</v>
      </c>
      <c r="I52" s="2">
        <v>107.7</v>
      </c>
      <c r="J52" s="2">
        <v>127.7</v>
      </c>
      <c r="K52" s="2">
        <v>125</v>
      </c>
      <c r="L52" s="2">
        <v>111.9</v>
      </c>
      <c r="M52" s="2">
        <v>102.8</v>
      </c>
      <c r="N52" s="2">
        <v>113.4</v>
      </c>
      <c r="O52" s="2">
        <v>113.7</v>
      </c>
      <c r="P52" s="2">
        <v>120.4</v>
      </c>
      <c r="Q52" s="2">
        <v>118.9</v>
      </c>
      <c r="R52" s="2">
        <v>116.8</v>
      </c>
      <c r="S52" s="2">
        <v>118</v>
      </c>
      <c r="T52" s="2">
        <v>115.2</v>
      </c>
      <c r="U52" s="2">
        <v>117.6</v>
      </c>
      <c r="V52" s="2">
        <v>100.4</v>
      </c>
      <c r="W52" s="2">
        <v>112.5</v>
      </c>
      <c r="X52" s="2">
        <v>114.1</v>
      </c>
      <c r="Y52" s="2">
        <v>111.8</v>
      </c>
      <c r="Z52" s="2">
        <v>111.3</v>
      </c>
      <c r="AA52" s="2">
        <v>111.2</v>
      </c>
      <c r="AB52" s="2">
        <v>113</v>
      </c>
      <c r="AC52" s="2">
        <v>109.1</v>
      </c>
      <c r="AD52" s="2">
        <v>111.8</v>
      </c>
      <c r="AE52" s="2">
        <v>115.8</v>
      </c>
      <c r="AG52" s="20">
        <f t="shared" si="0"/>
        <v>116.80769230769235</v>
      </c>
      <c r="AH52" s="2">
        <v>116.8</v>
      </c>
      <c r="AI52" s="20">
        <f t="shared" si="1"/>
        <v>109</v>
      </c>
      <c r="AJ52" s="20">
        <f t="shared" si="2"/>
        <v>116.93333333333332</v>
      </c>
      <c r="AK52" s="20">
        <f t="shared" si="3"/>
        <v>111.36666666666666</v>
      </c>
    </row>
    <row r="53" spans="1:37" ht="15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120.7</v>
      </c>
      <c r="F53" s="2">
        <v>121.6</v>
      </c>
      <c r="G53" s="2">
        <v>116.1</v>
      </c>
      <c r="H53" s="2">
        <v>119.3</v>
      </c>
      <c r="I53" s="2">
        <v>110.3</v>
      </c>
      <c r="J53" s="2">
        <v>125.8</v>
      </c>
      <c r="K53" s="2">
        <v>129.30000000000001</v>
      </c>
      <c r="L53" s="2">
        <v>112.2</v>
      </c>
      <c r="M53" s="2">
        <v>103.6</v>
      </c>
      <c r="N53" s="2">
        <v>112.3</v>
      </c>
      <c r="O53" s="2">
        <v>114.9</v>
      </c>
      <c r="P53" s="2">
        <v>120.1</v>
      </c>
      <c r="Q53" s="2">
        <v>119.5</v>
      </c>
      <c r="R53" s="2">
        <v>117.3</v>
      </c>
      <c r="S53" s="2">
        <v>119.7</v>
      </c>
      <c r="T53" s="2">
        <v>117.3</v>
      </c>
      <c r="U53" s="2">
        <v>119.3</v>
      </c>
      <c r="V53" s="2">
        <f>VLOOKUP($A53,'Impute housing Missing Value'!$A$1:$C$125,3,0)</f>
        <v>113.9</v>
      </c>
      <c r="W53" s="2">
        <v>114.4</v>
      </c>
      <c r="X53" s="2">
        <v>114.9</v>
      </c>
      <c r="Y53" s="2">
        <v>112.8</v>
      </c>
      <c r="Z53" s="2">
        <v>112.2</v>
      </c>
      <c r="AA53" s="2">
        <v>111.4</v>
      </c>
      <c r="AB53" s="2">
        <v>114.3</v>
      </c>
      <c r="AC53" s="2">
        <v>108</v>
      </c>
      <c r="AD53" s="2">
        <v>112.3</v>
      </c>
      <c r="AE53" s="2">
        <v>117</v>
      </c>
      <c r="AG53" s="20">
        <f t="shared" si="0"/>
        <v>117.36153846153844</v>
      </c>
      <c r="AH53" s="2">
        <v>117.3</v>
      </c>
      <c r="AI53" s="20">
        <f t="shared" si="1"/>
        <v>114.40000000000002</v>
      </c>
      <c r="AJ53" s="20">
        <f t="shared" si="2"/>
        <v>118.76666666666667</v>
      </c>
      <c r="AK53" s="20">
        <f t="shared" si="3"/>
        <v>111.83333333333333</v>
      </c>
    </row>
    <row r="54" spans="1:37" ht="15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123.1</v>
      </c>
      <c r="F54" s="2">
        <v>125.9</v>
      </c>
      <c r="G54" s="2">
        <v>115.4</v>
      </c>
      <c r="H54" s="2">
        <v>120.4</v>
      </c>
      <c r="I54" s="2">
        <v>103.4</v>
      </c>
      <c r="J54" s="2">
        <v>131.19999999999999</v>
      </c>
      <c r="K54" s="2">
        <v>137.5</v>
      </c>
      <c r="L54" s="2">
        <v>112.8</v>
      </c>
      <c r="M54" s="2">
        <v>101.4</v>
      </c>
      <c r="N54" s="2">
        <v>118.3</v>
      </c>
      <c r="O54" s="2">
        <v>113.2</v>
      </c>
      <c r="P54" s="2">
        <v>122.4</v>
      </c>
      <c r="Q54" s="2">
        <v>122</v>
      </c>
      <c r="R54" s="2">
        <v>119</v>
      </c>
      <c r="S54" s="2">
        <v>117.4</v>
      </c>
      <c r="T54" s="2">
        <v>113.2</v>
      </c>
      <c r="U54" s="2">
        <v>116.7</v>
      </c>
      <c r="V54" s="2">
        <v>100.4</v>
      </c>
      <c r="W54" s="2">
        <v>111.2</v>
      </c>
      <c r="X54" s="2">
        <v>114.3</v>
      </c>
      <c r="Y54" s="2">
        <v>111.4</v>
      </c>
      <c r="Z54" s="2">
        <v>111.5</v>
      </c>
      <c r="AA54" s="2">
        <v>111.8</v>
      </c>
      <c r="AB54" s="2">
        <v>115.1</v>
      </c>
      <c r="AC54" s="2">
        <v>108.7</v>
      </c>
      <c r="AD54" s="2">
        <v>112.2</v>
      </c>
      <c r="AE54" s="2">
        <v>116.4</v>
      </c>
      <c r="AG54" s="20">
        <f t="shared" si="0"/>
        <v>119</v>
      </c>
      <c r="AH54" s="2">
        <v>119</v>
      </c>
      <c r="AI54" s="20">
        <f t="shared" si="1"/>
        <v>108.63333333333334</v>
      </c>
      <c r="AJ54" s="20">
        <f t="shared" si="2"/>
        <v>115.76666666666667</v>
      </c>
      <c r="AK54" s="20">
        <f t="shared" si="3"/>
        <v>111.78333333333335</v>
      </c>
    </row>
    <row r="55" spans="1:37" ht="26.5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121.5</v>
      </c>
      <c r="F55" s="2">
        <v>123.1</v>
      </c>
      <c r="G55" s="2">
        <v>115.8</v>
      </c>
      <c r="H55" s="2">
        <v>119.7</v>
      </c>
      <c r="I55" s="2">
        <v>107.8</v>
      </c>
      <c r="J55" s="2">
        <v>128.30000000000001</v>
      </c>
      <c r="K55" s="2">
        <v>132.1</v>
      </c>
      <c r="L55" s="2">
        <v>112.4</v>
      </c>
      <c r="M55" s="2">
        <v>102.9</v>
      </c>
      <c r="N55" s="2">
        <v>114.3</v>
      </c>
      <c r="O55" s="2">
        <v>114.2</v>
      </c>
      <c r="P55" s="2">
        <v>121.2</v>
      </c>
      <c r="Q55" s="2">
        <v>120.4</v>
      </c>
      <c r="R55" s="2">
        <v>117.8</v>
      </c>
      <c r="S55" s="2">
        <v>118.8</v>
      </c>
      <c r="T55" s="2">
        <v>115.6</v>
      </c>
      <c r="U55" s="2">
        <v>118.3</v>
      </c>
      <c r="V55" s="2">
        <v>100.4</v>
      </c>
      <c r="W55" s="2">
        <v>113.2</v>
      </c>
      <c r="X55" s="2">
        <v>114.6</v>
      </c>
      <c r="Y55" s="2">
        <v>112.3</v>
      </c>
      <c r="Z55" s="2">
        <v>111.8</v>
      </c>
      <c r="AA55" s="2">
        <v>111.6</v>
      </c>
      <c r="AB55" s="2">
        <v>114.8</v>
      </c>
      <c r="AC55" s="2">
        <v>108.3</v>
      </c>
      <c r="AD55" s="2">
        <v>112.3</v>
      </c>
      <c r="AE55" s="2">
        <v>116.7</v>
      </c>
      <c r="AG55" s="20">
        <f t="shared" si="0"/>
        <v>117.9769230769231</v>
      </c>
      <c r="AH55" s="2">
        <v>117.8</v>
      </c>
      <c r="AI55" s="20">
        <f t="shared" si="1"/>
        <v>109.40000000000002</v>
      </c>
      <c r="AJ55" s="20">
        <f t="shared" si="2"/>
        <v>117.56666666666666</v>
      </c>
      <c r="AK55" s="20">
        <f t="shared" si="3"/>
        <v>111.84999999999998</v>
      </c>
    </row>
    <row r="56" spans="1:37" ht="15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121.7</v>
      </c>
      <c r="F56" s="2">
        <v>122.5</v>
      </c>
      <c r="G56" s="2">
        <v>117.7</v>
      </c>
      <c r="H56" s="2">
        <v>120.6</v>
      </c>
      <c r="I56" s="2">
        <v>110.4</v>
      </c>
      <c r="J56" s="2">
        <v>129.1</v>
      </c>
      <c r="K56" s="2">
        <v>150.1</v>
      </c>
      <c r="L56" s="2">
        <v>113.2</v>
      </c>
      <c r="M56" s="2">
        <v>104.8</v>
      </c>
      <c r="N56" s="2">
        <v>113.3</v>
      </c>
      <c r="O56" s="2">
        <v>115.6</v>
      </c>
      <c r="P56" s="2">
        <v>120.9</v>
      </c>
      <c r="Q56" s="2">
        <v>123.3</v>
      </c>
      <c r="R56" s="2">
        <v>118</v>
      </c>
      <c r="S56" s="2">
        <v>120.7</v>
      </c>
      <c r="T56" s="2">
        <v>118.3</v>
      </c>
      <c r="U56" s="2">
        <v>120.3</v>
      </c>
      <c r="V56" s="2">
        <f>VLOOKUP($A56,'Impute housing Missing Value'!$A$1:$C$125,3,0)</f>
        <v>114.8</v>
      </c>
      <c r="W56" s="2">
        <v>115.3</v>
      </c>
      <c r="X56" s="2">
        <v>115.4</v>
      </c>
      <c r="Y56" s="2">
        <v>113.4</v>
      </c>
      <c r="Z56" s="2">
        <v>113.2</v>
      </c>
      <c r="AA56" s="2">
        <v>111.8</v>
      </c>
      <c r="AB56" s="2">
        <v>115.5</v>
      </c>
      <c r="AC56" s="2">
        <v>108.8</v>
      </c>
      <c r="AD56" s="2">
        <v>113.1</v>
      </c>
      <c r="AE56" s="2">
        <v>119.5</v>
      </c>
      <c r="AG56" s="20">
        <f t="shared" si="0"/>
        <v>120.24615384615385</v>
      </c>
      <c r="AH56" s="2">
        <v>118</v>
      </c>
      <c r="AI56" s="20">
        <f t="shared" si="1"/>
        <v>115.16666666666667</v>
      </c>
      <c r="AJ56" s="20">
        <f t="shared" si="2"/>
        <v>119.76666666666667</v>
      </c>
      <c r="AK56" s="20">
        <f t="shared" si="3"/>
        <v>112.63333333333334</v>
      </c>
    </row>
    <row r="57" spans="1:37" ht="15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123.8</v>
      </c>
      <c r="F57" s="2">
        <v>126.4</v>
      </c>
      <c r="G57" s="2">
        <v>118</v>
      </c>
      <c r="H57" s="2">
        <v>121.6</v>
      </c>
      <c r="I57" s="2">
        <v>103.5</v>
      </c>
      <c r="J57" s="2">
        <v>133.69999999999999</v>
      </c>
      <c r="K57" s="2">
        <v>172.4</v>
      </c>
      <c r="L57" s="2">
        <v>113.1</v>
      </c>
      <c r="M57" s="2">
        <v>102.7</v>
      </c>
      <c r="N57" s="2">
        <v>120</v>
      </c>
      <c r="O57" s="2">
        <v>113.8</v>
      </c>
      <c r="P57" s="2">
        <v>123.4</v>
      </c>
      <c r="Q57" s="2">
        <v>127.1</v>
      </c>
      <c r="R57" s="2">
        <v>121</v>
      </c>
      <c r="S57" s="2">
        <v>118</v>
      </c>
      <c r="T57" s="2">
        <v>113.6</v>
      </c>
      <c r="U57" s="2">
        <v>117.4</v>
      </c>
      <c r="V57" s="2">
        <v>100.4</v>
      </c>
      <c r="W57" s="2">
        <v>111.6</v>
      </c>
      <c r="X57" s="2">
        <v>114.9</v>
      </c>
      <c r="Y57" s="2">
        <v>111.5</v>
      </c>
      <c r="Z57" s="2">
        <v>113</v>
      </c>
      <c r="AA57" s="2">
        <v>112.4</v>
      </c>
      <c r="AB57" s="2">
        <v>117.8</v>
      </c>
      <c r="AC57" s="2">
        <v>109.7</v>
      </c>
      <c r="AD57" s="2">
        <v>113.5</v>
      </c>
      <c r="AE57" s="2">
        <v>118.9</v>
      </c>
      <c r="AG57" s="20">
        <f t="shared" si="0"/>
        <v>123.03846153846153</v>
      </c>
      <c r="AH57" s="2">
        <v>121</v>
      </c>
      <c r="AI57" s="20">
        <f t="shared" si="1"/>
        <v>108.96666666666665</v>
      </c>
      <c r="AJ57" s="20">
        <f t="shared" si="2"/>
        <v>116.33333333333333</v>
      </c>
      <c r="AK57" s="20">
        <f t="shared" si="3"/>
        <v>112.98333333333333</v>
      </c>
    </row>
    <row r="58" spans="1:37" ht="26.5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122.4</v>
      </c>
      <c r="F58" s="2">
        <v>123.9</v>
      </c>
      <c r="G58" s="2">
        <v>117.8</v>
      </c>
      <c r="H58" s="2">
        <v>121</v>
      </c>
      <c r="I58" s="2">
        <v>107.9</v>
      </c>
      <c r="J58" s="2">
        <v>131.19999999999999</v>
      </c>
      <c r="K58" s="2">
        <v>157.69999999999999</v>
      </c>
      <c r="L58" s="2">
        <v>113.2</v>
      </c>
      <c r="M58" s="2">
        <v>104.1</v>
      </c>
      <c r="N58" s="2">
        <v>115.5</v>
      </c>
      <c r="O58" s="2">
        <v>114.8</v>
      </c>
      <c r="P58" s="2">
        <v>122.1</v>
      </c>
      <c r="Q58" s="2">
        <v>124.7</v>
      </c>
      <c r="R58" s="2">
        <v>118.8</v>
      </c>
      <c r="S58" s="2">
        <v>119.6</v>
      </c>
      <c r="T58" s="2">
        <v>116.3</v>
      </c>
      <c r="U58" s="2">
        <v>119.1</v>
      </c>
      <c r="V58" s="2">
        <v>100.4</v>
      </c>
      <c r="W58" s="2">
        <v>113.9</v>
      </c>
      <c r="X58" s="2">
        <v>115.2</v>
      </c>
      <c r="Y58" s="2">
        <v>112.7</v>
      </c>
      <c r="Z58" s="2">
        <v>113.1</v>
      </c>
      <c r="AA58" s="2">
        <v>112.1</v>
      </c>
      <c r="AB58" s="2">
        <v>116.8</v>
      </c>
      <c r="AC58" s="2">
        <v>109.2</v>
      </c>
      <c r="AD58" s="2">
        <v>113.3</v>
      </c>
      <c r="AE58" s="2">
        <v>119.2</v>
      </c>
      <c r="AG58" s="20">
        <f t="shared" si="0"/>
        <v>121.25384615384615</v>
      </c>
      <c r="AH58" s="2">
        <v>118.8</v>
      </c>
      <c r="AI58" s="20">
        <f t="shared" si="1"/>
        <v>109.83333333333333</v>
      </c>
      <c r="AJ58" s="20">
        <f t="shared" si="2"/>
        <v>118.33333333333333</v>
      </c>
      <c r="AK58" s="20">
        <f t="shared" si="3"/>
        <v>112.86666666666666</v>
      </c>
    </row>
    <row r="59" spans="1:37" ht="15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121.8</v>
      </c>
      <c r="F59" s="2">
        <v>122.8</v>
      </c>
      <c r="G59" s="2">
        <v>117.8</v>
      </c>
      <c r="H59" s="2">
        <v>121.9</v>
      </c>
      <c r="I59" s="2">
        <v>110.6</v>
      </c>
      <c r="J59" s="2">
        <v>129.69999999999999</v>
      </c>
      <c r="K59" s="2">
        <v>161.1</v>
      </c>
      <c r="L59" s="2">
        <v>114.1</v>
      </c>
      <c r="M59" s="2">
        <v>105.1</v>
      </c>
      <c r="N59" s="2">
        <v>114.6</v>
      </c>
      <c r="O59" s="2">
        <v>115.8</v>
      </c>
      <c r="P59" s="2">
        <v>121.7</v>
      </c>
      <c r="Q59" s="2">
        <v>125.3</v>
      </c>
      <c r="R59" s="2">
        <v>118.8</v>
      </c>
      <c r="S59" s="2">
        <v>120.9</v>
      </c>
      <c r="T59" s="2">
        <v>118.8</v>
      </c>
      <c r="U59" s="2">
        <v>120.7</v>
      </c>
      <c r="V59" s="2">
        <f>VLOOKUP($A59,'Impute housing Missing Value'!$A$1:$C$125,3,0)</f>
        <v>115.5</v>
      </c>
      <c r="W59" s="2">
        <v>115.4</v>
      </c>
      <c r="X59" s="2">
        <v>115.9</v>
      </c>
      <c r="Y59" s="2">
        <v>114</v>
      </c>
      <c r="Z59" s="2">
        <v>113.2</v>
      </c>
      <c r="AA59" s="2">
        <v>112.2</v>
      </c>
      <c r="AB59" s="2">
        <v>116.2</v>
      </c>
      <c r="AC59" s="2">
        <v>109.4</v>
      </c>
      <c r="AD59" s="2">
        <v>113.5</v>
      </c>
      <c r="AE59" s="2">
        <v>120.7</v>
      </c>
      <c r="AG59" s="20">
        <f t="shared" si="0"/>
        <v>121.71538461538459</v>
      </c>
      <c r="AH59" s="2">
        <v>118.8</v>
      </c>
      <c r="AI59" s="20">
        <f t="shared" si="1"/>
        <v>115.60000000000001</v>
      </c>
      <c r="AJ59" s="20">
        <f t="shared" si="2"/>
        <v>120.13333333333333</v>
      </c>
      <c r="AK59" s="20">
        <f t="shared" si="3"/>
        <v>113.08333333333333</v>
      </c>
    </row>
    <row r="60" spans="1:37" ht="15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124.8</v>
      </c>
      <c r="F60" s="2">
        <v>127.3</v>
      </c>
      <c r="G60" s="2">
        <v>116.5</v>
      </c>
      <c r="H60" s="2">
        <v>122.2</v>
      </c>
      <c r="I60" s="2">
        <v>103.6</v>
      </c>
      <c r="J60" s="2">
        <v>132.69999999999999</v>
      </c>
      <c r="K60" s="2">
        <v>181.9</v>
      </c>
      <c r="L60" s="2">
        <v>115.2</v>
      </c>
      <c r="M60" s="2">
        <v>102.7</v>
      </c>
      <c r="N60" s="2">
        <v>122.1</v>
      </c>
      <c r="O60" s="2">
        <v>114.4</v>
      </c>
      <c r="P60" s="2">
        <v>124.7</v>
      </c>
      <c r="Q60" s="2">
        <v>128.9</v>
      </c>
      <c r="R60" s="2">
        <v>123</v>
      </c>
      <c r="S60" s="2">
        <v>118.6</v>
      </c>
      <c r="T60" s="2">
        <v>114.1</v>
      </c>
      <c r="U60" s="2">
        <v>117.9</v>
      </c>
      <c r="V60" s="2">
        <v>100.4</v>
      </c>
      <c r="W60" s="2">
        <v>111.8</v>
      </c>
      <c r="X60" s="2">
        <v>115.3</v>
      </c>
      <c r="Y60" s="2">
        <v>112.2</v>
      </c>
      <c r="Z60" s="2">
        <v>112.5</v>
      </c>
      <c r="AA60" s="2">
        <v>112.9</v>
      </c>
      <c r="AB60" s="2">
        <v>119.2</v>
      </c>
      <c r="AC60" s="2">
        <v>110.5</v>
      </c>
      <c r="AD60" s="2">
        <v>113.9</v>
      </c>
      <c r="AE60" s="2">
        <v>119.9</v>
      </c>
      <c r="AG60" s="20">
        <f t="shared" si="0"/>
        <v>124.38461538461539</v>
      </c>
      <c r="AH60" s="2">
        <v>123</v>
      </c>
      <c r="AI60" s="20">
        <f t="shared" si="1"/>
        <v>109.16666666666667</v>
      </c>
      <c r="AJ60" s="20">
        <f t="shared" si="2"/>
        <v>116.86666666666667</v>
      </c>
      <c r="AK60" s="20">
        <f t="shared" si="3"/>
        <v>113.53333333333332</v>
      </c>
    </row>
    <row r="61" spans="1:37" ht="26.5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122.7</v>
      </c>
      <c r="F61" s="2">
        <v>124.4</v>
      </c>
      <c r="G61" s="2">
        <v>117.3</v>
      </c>
      <c r="H61" s="2">
        <v>122</v>
      </c>
      <c r="I61" s="2">
        <v>108</v>
      </c>
      <c r="J61" s="2">
        <v>131.1</v>
      </c>
      <c r="K61" s="2">
        <v>168.2</v>
      </c>
      <c r="L61" s="2">
        <v>114.5</v>
      </c>
      <c r="M61" s="2">
        <v>104.3</v>
      </c>
      <c r="N61" s="2">
        <v>117.1</v>
      </c>
      <c r="O61" s="2">
        <v>115.2</v>
      </c>
      <c r="P61" s="2">
        <v>123.1</v>
      </c>
      <c r="Q61" s="2">
        <v>126.6</v>
      </c>
      <c r="R61" s="2">
        <v>119.9</v>
      </c>
      <c r="S61" s="2">
        <v>120</v>
      </c>
      <c r="T61" s="2">
        <v>116.8</v>
      </c>
      <c r="U61" s="2">
        <v>119.6</v>
      </c>
      <c r="V61" s="2">
        <v>100.4</v>
      </c>
      <c r="W61" s="2">
        <v>114</v>
      </c>
      <c r="X61" s="2">
        <v>115.6</v>
      </c>
      <c r="Y61" s="2">
        <v>113.3</v>
      </c>
      <c r="Z61" s="2">
        <v>112.8</v>
      </c>
      <c r="AA61" s="2">
        <v>112.6</v>
      </c>
      <c r="AB61" s="2">
        <v>118</v>
      </c>
      <c r="AC61" s="2">
        <v>109.9</v>
      </c>
      <c r="AD61" s="2">
        <v>113.7</v>
      </c>
      <c r="AE61" s="2">
        <v>120.3</v>
      </c>
      <c r="AG61" s="20">
        <f t="shared" si="0"/>
        <v>122.65384615384613</v>
      </c>
      <c r="AH61" s="2">
        <v>119.9</v>
      </c>
      <c r="AI61" s="20">
        <f t="shared" si="1"/>
        <v>110</v>
      </c>
      <c r="AJ61" s="20">
        <f t="shared" si="2"/>
        <v>118.8</v>
      </c>
      <c r="AK61" s="20">
        <f t="shared" si="3"/>
        <v>113.38333333333334</v>
      </c>
    </row>
    <row r="62" spans="1:37" ht="26.5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122.3</v>
      </c>
      <c r="F62" s="2">
        <v>122.4</v>
      </c>
      <c r="G62" s="2">
        <v>117.8</v>
      </c>
      <c r="H62" s="2">
        <v>122.7</v>
      </c>
      <c r="I62" s="2">
        <v>110.4</v>
      </c>
      <c r="J62" s="2">
        <v>129.80000000000001</v>
      </c>
      <c r="K62" s="2">
        <v>158.80000000000001</v>
      </c>
      <c r="L62" s="2">
        <v>115</v>
      </c>
      <c r="M62" s="2">
        <v>104.7</v>
      </c>
      <c r="N62" s="2">
        <v>114.9</v>
      </c>
      <c r="O62" s="2">
        <v>116.5</v>
      </c>
      <c r="P62" s="2">
        <v>122.6</v>
      </c>
      <c r="Q62" s="2">
        <v>125.3</v>
      </c>
      <c r="R62" s="2">
        <v>119.5</v>
      </c>
      <c r="S62" s="2">
        <v>121.7</v>
      </c>
      <c r="T62" s="2">
        <v>119.2</v>
      </c>
      <c r="U62" s="2">
        <v>121.3</v>
      </c>
      <c r="V62" s="2">
        <f>VLOOKUP($A62,'Impute housing Missing Value'!$A$1:$C$125,3,0)</f>
        <v>116.1</v>
      </c>
      <c r="W62" s="2">
        <v>115.8</v>
      </c>
      <c r="X62" s="2">
        <v>116.7</v>
      </c>
      <c r="Y62" s="2">
        <v>114.5</v>
      </c>
      <c r="Z62" s="2">
        <v>112.8</v>
      </c>
      <c r="AA62" s="2">
        <v>112.6</v>
      </c>
      <c r="AB62" s="2">
        <v>116.6</v>
      </c>
      <c r="AC62" s="2">
        <v>109.1</v>
      </c>
      <c r="AD62" s="2">
        <v>113.7</v>
      </c>
      <c r="AE62" s="2">
        <v>120.9</v>
      </c>
      <c r="AG62" s="20">
        <f t="shared" si="0"/>
        <v>121.78461538461539</v>
      </c>
      <c r="AH62" s="2">
        <v>119.5</v>
      </c>
      <c r="AI62" s="20">
        <f t="shared" si="1"/>
        <v>116.19999999999999</v>
      </c>
      <c r="AJ62" s="20">
        <f t="shared" si="2"/>
        <v>120.73333333333333</v>
      </c>
      <c r="AK62" s="20">
        <f t="shared" si="3"/>
        <v>113.21666666666668</v>
      </c>
    </row>
    <row r="63" spans="1:37" ht="26.5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124.2</v>
      </c>
      <c r="F63" s="2">
        <v>125.4</v>
      </c>
      <c r="G63" s="2">
        <v>116.4</v>
      </c>
      <c r="H63" s="2">
        <v>122.7</v>
      </c>
      <c r="I63" s="2">
        <v>103.5</v>
      </c>
      <c r="J63" s="2">
        <v>124.5</v>
      </c>
      <c r="K63" s="2">
        <v>168.6</v>
      </c>
      <c r="L63" s="2">
        <v>116.9</v>
      </c>
      <c r="M63" s="2">
        <v>101.9</v>
      </c>
      <c r="N63" s="2">
        <v>122.9</v>
      </c>
      <c r="O63" s="2">
        <v>114.8</v>
      </c>
      <c r="P63" s="2">
        <v>125.2</v>
      </c>
      <c r="Q63" s="2">
        <v>126.7</v>
      </c>
      <c r="R63" s="2">
        <v>124.3</v>
      </c>
      <c r="S63" s="2">
        <v>119.2</v>
      </c>
      <c r="T63" s="2">
        <v>114.5</v>
      </c>
      <c r="U63" s="2">
        <v>118.4</v>
      </c>
      <c r="V63" s="2">
        <v>100.4</v>
      </c>
      <c r="W63" s="2">
        <v>111.8</v>
      </c>
      <c r="X63" s="2">
        <v>115.5</v>
      </c>
      <c r="Y63" s="2">
        <v>112.3</v>
      </c>
      <c r="Z63" s="2">
        <v>111.2</v>
      </c>
      <c r="AA63" s="2">
        <v>113.4</v>
      </c>
      <c r="AB63" s="2">
        <v>120</v>
      </c>
      <c r="AC63" s="2">
        <v>110</v>
      </c>
      <c r="AD63" s="2">
        <v>113.6</v>
      </c>
      <c r="AE63" s="2">
        <v>119.2</v>
      </c>
      <c r="AG63" s="20">
        <f t="shared" si="0"/>
        <v>122.59230769230771</v>
      </c>
      <c r="AH63" s="2">
        <v>124.3</v>
      </c>
      <c r="AI63" s="20">
        <f t="shared" si="1"/>
        <v>109.23333333333333</v>
      </c>
      <c r="AJ63" s="20">
        <f t="shared" si="2"/>
        <v>117.36666666666667</v>
      </c>
      <c r="AK63" s="20">
        <f t="shared" si="3"/>
        <v>113.41666666666667</v>
      </c>
    </row>
    <row r="64" spans="1:37" ht="26.5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122.9</v>
      </c>
      <c r="F64" s="2">
        <v>123.5</v>
      </c>
      <c r="G64" s="2">
        <v>117.3</v>
      </c>
      <c r="H64" s="2">
        <v>122.7</v>
      </c>
      <c r="I64" s="2">
        <v>107.9</v>
      </c>
      <c r="J64" s="2">
        <v>127.3</v>
      </c>
      <c r="K64" s="2">
        <v>162.1</v>
      </c>
      <c r="L64" s="2">
        <v>115.6</v>
      </c>
      <c r="M64" s="2">
        <v>103.8</v>
      </c>
      <c r="N64" s="2">
        <v>117.6</v>
      </c>
      <c r="O64" s="2">
        <v>115.8</v>
      </c>
      <c r="P64" s="2">
        <v>123.8</v>
      </c>
      <c r="Q64" s="2">
        <v>125.8</v>
      </c>
      <c r="R64" s="2">
        <v>120.8</v>
      </c>
      <c r="S64" s="2">
        <v>120.7</v>
      </c>
      <c r="T64" s="2">
        <v>117.2</v>
      </c>
      <c r="U64" s="2">
        <v>120.1</v>
      </c>
      <c r="V64" s="2">
        <v>100.4</v>
      </c>
      <c r="W64" s="2">
        <v>114.3</v>
      </c>
      <c r="X64" s="2">
        <v>116.1</v>
      </c>
      <c r="Y64" s="2">
        <v>113.7</v>
      </c>
      <c r="Z64" s="2">
        <v>112</v>
      </c>
      <c r="AA64" s="2">
        <v>113.1</v>
      </c>
      <c r="AB64" s="2">
        <v>118.6</v>
      </c>
      <c r="AC64" s="2">
        <v>109.5</v>
      </c>
      <c r="AD64" s="2">
        <v>113.7</v>
      </c>
      <c r="AE64" s="2">
        <v>120.1</v>
      </c>
      <c r="AG64" s="20">
        <f t="shared" si="0"/>
        <v>122.00769230769228</v>
      </c>
      <c r="AH64" s="2">
        <v>120.8</v>
      </c>
      <c r="AI64" s="20">
        <f t="shared" si="1"/>
        <v>110.26666666666665</v>
      </c>
      <c r="AJ64" s="20">
        <f t="shared" si="2"/>
        <v>119.33333333333333</v>
      </c>
      <c r="AK64" s="20">
        <f t="shared" si="3"/>
        <v>113.43333333333334</v>
      </c>
    </row>
    <row r="65" spans="1:37" ht="15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122.6</v>
      </c>
      <c r="F65" s="2">
        <v>122.5</v>
      </c>
      <c r="G65" s="2">
        <v>118.3</v>
      </c>
      <c r="H65" s="2">
        <v>123.2</v>
      </c>
      <c r="I65" s="2">
        <v>110.5</v>
      </c>
      <c r="J65" s="2">
        <v>128.9</v>
      </c>
      <c r="K65" s="2">
        <v>155.30000000000001</v>
      </c>
      <c r="L65" s="2">
        <v>115.5</v>
      </c>
      <c r="M65" s="2">
        <v>104</v>
      </c>
      <c r="N65" s="2">
        <v>115.3</v>
      </c>
      <c r="O65" s="2">
        <v>116.8</v>
      </c>
      <c r="P65" s="2">
        <v>123.2</v>
      </c>
      <c r="Q65" s="2">
        <v>125.1</v>
      </c>
      <c r="R65" s="2">
        <v>120</v>
      </c>
      <c r="S65" s="2">
        <v>122.7</v>
      </c>
      <c r="T65" s="2">
        <v>120.3</v>
      </c>
      <c r="U65" s="2">
        <v>122.3</v>
      </c>
      <c r="V65" s="2">
        <f>VLOOKUP($A65,'Impute housing Missing Value'!$A$1:$C$125,3,0)</f>
        <v>116.7</v>
      </c>
      <c r="W65" s="2">
        <v>116.4</v>
      </c>
      <c r="X65" s="2">
        <v>117.5</v>
      </c>
      <c r="Y65" s="2">
        <v>115.3</v>
      </c>
      <c r="Z65" s="2">
        <v>112.6</v>
      </c>
      <c r="AA65" s="2">
        <v>113</v>
      </c>
      <c r="AB65" s="2">
        <v>116.9</v>
      </c>
      <c r="AC65" s="2">
        <v>109.3</v>
      </c>
      <c r="AD65" s="2">
        <v>114</v>
      </c>
      <c r="AE65" s="2">
        <v>121</v>
      </c>
      <c r="AG65" s="20">
        <f t="shared" si="0"/>
        <v>121.63076923076922</v>
      </c>
      <c r="AH65" s="2">
        <v>120</v>
      </c>
      <c r="AI65" s="20">
        <f t="shared" si="1"/>
        <v>116.86666666666667</v>
      </c>
      <c r="AJ65" s="20">
        <f t="shared" si="2"/>
        <v>121.76666666666667</v>
      </c>
      <c r="AK65" s="20">
        <f t="shared" si="3"/>
        <v>113.51666666666665</v>
      </c>
    </row>
    <row r="66" spans="1:37" ht="15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124.6</v>
      </c>
      <c r="F66" s="2">
        <v>126.1</v>
      </c>
      <c r="G66" s="2">
        <v>117.8</v>
      </c>
      <c r="H66" s="2">
        <v>123.1</v>
      </c>
      <c r="I66" s="2">
        <v>103.5</v>
      </c>
      <c r="J66" s="2">
        <v>123.5</v>
      </c>
      <c r="K66" s="2">
        <v>159.6</v>
      </c>
      <c r="L66" s="2">
        <v>117.4</v>
      </c>
      <c r="M66" s="2">
        <v>101.2</v>
      </c>
      <c r="N66" s="2">
        <v>123.8</v>
      </c>
      <c r="O66" s="2">
        <v>115.2</v>
      </c>
      <c r="P66" s="2">
        <v>125.9</v>
      </c>
      <c r="Q66" s="2">
        <v>125.8</v>
      </c>
      <c r="R66" s="2">
        <v>124.3</v>
      </c>
      <c r="S66" s="2">
        <v>119.6</v>
      </c>
      <c r="T66" s="2">
        <v>114.9</v>
      </c>
      <c r="U66" s="2">
        <v>118.9</v>
      </c>
      <c r="V66" s="2">
        <v>100.4</v>
      </c>
      <c r="W66" s="2">
        <v>112</v>
      </c>
      <c r="X66" s="2">
        <v>115.8</v>
      </c>
      <c r="Y66" s="2">
        <v>112.6</v>
      </c>
      <c r="Z66" s="2">
        <v>111</v>
      </c>
      <c r="AA66" s="2">
        <v>113.6</v>
      </c>
      <c r="AB66" s="2">
        <v>120.2</v>
      </c>
      <c r="AC66" s="2">
        <v>110.1</v>
      </c>
      <c r="AD66" s="2">
        <v>113.7</v>
      </c>
      <c r="AE66" s="2">
        <v>119.1</v>
      </c>
      <c r="AG66" s="20">
        <f t="shared" si="0"/>
        <v>122.11538461538461</v>
      </c>
      <c r="AH66" s="2">
        <v>124.3</v>
      </c>
      <c r="AI66" s="20">
        <f t="shared" si="1"/>
        <v>109.39999999999999</v>
      </c>
      <c r="AJ66" s="20">
        <f t="shared" si="2"/>
        <v>117.8</v>
      </c>
      <c r="AK66" s="20">
        <f t="shared" si="3"/>
        <v>113.53333333333335</v>
      </c>
    </row>
    <row r="67" spans="1:37" ht="26.5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123.2</v>
      </c>
      <c r="F67" s="2">
        <v>123.8</v>
      </c>
      <c r="G67" s="2">
        <v>118.1</v>
      </c>
      <c r="H67" s="2">
        <v>123.2</v>
      </c>
      <c r="I67" s="2">
        <v>107.9</v>
      </c>
      <c r="J67" s="2">
        <v>126.4</v>
      </c>
      <c r="K67" s="2">
        <v>156.80000000000001</v>
      </c>
      <c r="L67" s="2">
        <v>116.1</v>
      </c>
      <c r="M67" s="2">
        <v>103.1</v>
      </c>
      <c r="N67" s="2">
        <v>118.1</v>
      </c>
      <c r="O67" s="2">
        <v>116.1</v>
      </c>
      <c r="P67" s="2">
        <v>124.5</v>
      </c>
      <c r="Q67" s="2">
        <v>125.4</v>
      </c>
      <c r="R67" s="2">
        <v>121.1</v>
      </c>
      <c r="S67" s="2">
        <v>121.5</v>
      </c>
      <c r="T67" s="2">
        <v>118.1</v>
      </c>
      <c r="U67" s="2">
        <v>121</v>
      </c>
      <c r="V67" s="2">
        <v>100.4</v>
      </c>
      <c r="W67" s="2">
        <v>114.7</v>
      </c>
      <c r="X67" s="2">
        <v>116.7</v>
      </c>
      <c r="Y67" s="2">
        <v>114.3</v>
      </c>
      <c r="Z67" s="2">
        <v>111.8</v>
      </c>
      <c r="AA67" s="2">
        <v>113.3</v>
      </c>
      <c r="AB67" s="2">
        <v>118.8</v>
      </c>
      <c r="AC67" s="2">
        <v>109.6</v>
      </c>
      <c r="AD67" s="2">
        <v>113.9</v>
      </c>
      <c r="AE67" s="2">
        <v>120.1</v>
      </c>
      <c r="AG67" s="20">
        <f t="shared" ref="AG67:AG130" si="4">AVERAGE(E67:Q67)</f>
        <v>121.74615384615385</v>
      </c>
      <c r="AH67" s="2">
        <v>121.1</v>
      </c>
      <c r="AI67" s="20">
        <f t="shared" ref="AI67:AI130" si="5">AVERAGE(V67:X67)</f>
        <v>110.60000000000001</v>
      </c>
      <c r="AJ67" s="20">
        <f t="shared" ref="AJ67:AJ130" si="6">AVERAGE(S67:U67)</f>
        <v>120.2</v>
      </c>
      <c r="AK67" s="20">
        <f t="shared" ref="AK67:AK130" si="7">AVERAGE(Y67:AD67)</f>
        <v>113.61666666666666</v>
      </c>
    </row>
    <row r="68" spans="1:37" ht="26.5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122.7</v>
      </c>
      <c r="F68" s="2">
        <v>122.6</v>
      </c>
      <c r="G68" s="2">
        <v>119.9</v>
      </c>
      <c r="H68" s="2">
        <v>124</v>
      </c>
      <c r="I68" s="2">
        <v>110.5</v>
      </c>
      <c r="J68" s="2">
        <v>128.80000000000001</v>
      </c>
      <c r="K68" s="2">
        <v>152</v>
      </c>
      <c r="L68" s="2">
        <v>116.2</v>
      </c>
      <c r="M68" s="2">
        <v>103.3</v>
      </c>
      <c r="N68" s="2">
        <v>115.8</v>
      </c>
      <c r="O68" s="2">
        <v>116.8</v>
      </c>
      <c r="P68" s="2">
        <v>124.5</v>
      </c>
      <c r="Q68" s="2">
        <v>124.9</v>
      </c>
      <c r="R68" s="2">
        <v>120.8</v>
      </c>
      <c r="S68" s="2">
        <v>123.3</v>
      </c>
      <c r="T68" s="2">
        <v>120.5</v>
      </c>
      <c r="U68" s="2">
        <v>122.9</v>
      </c>
      <c r="V68" s="2">
        <f>VLOOKUP($A68,'Impute housing Missing Value'!$A$1:$C$125,3,0)</f>
        <v>117.1</v>
      </c>
      <c r="W68" s="2">
        <v>117.3</v>
      </c>
      <c r="X68" s="2">
        <v>118.1</v>
      </c>
      <c r="Y68" s="2">
        <v>115.9</v>
      </c>
      <c r="Z68" s="2">
        <v>112</v>
      </c>
      <c r="AA68" s="2">
        <v>113.3</v>
      </c>
      <c r="AB68" s="2">
        <v>117.2</v>
      </c>
      <c r="AC68" s="2">
        <v>108.8</v>
      </c>
      <c r="AD68" s="2">
        <v>114.1</v>
      </c>
      <c r="AE68" s="2">
        <v>121.1</v>
      </c>
      <c r="AG68" s="20">
        <f t="shared" si="4"/>
        <v>121.69230769230769</v>
      </c>
      <c r="AH68" s="2">
        <v>120.8</v>
      </c>
      <c r="AI68" s="20">
        <f t="shared" si="5"/>
        <v>117.5</v>
      </c>
      <c r="AJ68" s="20">
        <f t="shared" si="6"/>
        <v>122.23333333333335</v>
      </c>
      <c r="AK68" s="20">
        <f t="shared" si="7"/>
        <v>113.55</v>
      </c>
    </row>
    <row r="69" spans="1:37" ht="26.5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124.5</v>
      </c>
      <c r="F69" s="2">
        <v>125.6</v>
      </c>
      <c r="G69" s="2">
        <v>122.7</v>
      </c>
      <c r="H69" s="2">
        <v>124.6</v>
      </c>
      <c r="I69" s="2">
        <v>103.2</v>
      </c>
      <c r="J69" s="2">
        <v>122.2</v>
      </c>
      <c r="K69" s="2">
        <v>153.19999999999999</v>
      </c>
      <c r="L69" s="2">
        <v>119.3</v>
      </c>
      <c r="M69" s="2">
        <v>99.8</v>
      </c>
      <c r="N69" s="2">
        <v>124.6</v>
      </c>
      <c r="O69" s="2">
        <v>115.8</v>
      </c>
      <c r="P69" s="2">
        <v>126.9</v>
      </c>
      <c r="Q69" s="2">
        <v>125.4</v>
      </c>
      <c r="R69" s="2">
        <v>125.8</v>
      </c>
      <c r="S69" s="2">
        <v>120.3</v>
      </c>
      <c r="T69" s="2">
        <v>115.4</v>
      </c>
      <c r="U69" s="2">
        <v>119.5</v>
      </c>
      <c r="V69" s="2">
        <v>100.4</v>
      </c>
      <c r="W69" s="2">
        <v>112.6</v>
      </c>
      <c r="X69" s="2">
        <v>116.4</v>
      </c>
      <c r="Y69" s="2">
        <v>113</v>
      </c>
      <c r="Z69" s="2">
        <v>109.7</v>
      </c>
      <c r="AA69" s="2">
        <v>114</v>
      </c>
      <c r="AB69" s="2">
        <v>120.3</v>
      </c>
      <c r="AC69" s="2">
        <v>109.6</v>
      </c>
      <c r="AD69" s="2">
        <v>113.4</v>
      </c>
      <c r="AE69" s="2">
        <v>119</v>
      </c>
      <c r="AG69" s="20">
        <f t="shared" si="4"/>
        <v>122.13846153846154</v>
      </c>
      <c r="AH69" s="2">
        <v>125.8</v>
      </c>
      <c r="AI69" s="20">
        <f t="shared" si="5"/>
        <v>109.8</v>
      </c>
      <c r="AJ69" s="20">
        <f t="shared" si="6"/>
        <v>118.39999999999999</v>
      </c>
      <c r="AK69" s="20">
        <f t="shared" si="7"/>
        <v>113.33333333333333</v>
      </c>
    </row>
    <row r="70" spans="1:37" ht="26.5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123.3</v>
      </c>
      <c r="F70" s="2">
        <v>123.7</v>
      </c>
      <c r="G70" s="2">
        <v>121</v>
      </c>
      <c r="H70" s="2">
        <v>124.2</v>
      </c>
      <c r="I70" s="2">
        <v>107.8</v>
      </c>
      <c r="J70" s="2">
        <v>125.7</v>
      </c>
      <c r="K70" s="2">
        <v>152.4</v>
      </c>
      <c r="L70" s="2">
        <v>117.2</v>
      </c>
      <c r="M70" s="2">
        <v>102.1</v>
      </c>
      <c r="N70" s="2">
        <v>118.7</v>
      </c>
      <c r="O70" s="2">
        <v>116.4</v>
      </c>
      <c r="P70" s="2">
        <v>125.6</v>
      </c>
      <c r="Q70" s="2">
        <v>125.1</v>
      </c>
      <c r="R70" s="2">
        <v>122.1</v>
      </c>
      <c r="S70" s="2">
        <v>122.1</v>
      </c>
      <c r="T70" s="2">
        <v>118.4</v>
      </c>
      <c r="U70" s="2">
        <v>121.6</v>
      </c>
      <c r="V70" s="2">
        <v>100.4</v>
      </c>
      <c r="W70" s="2">
        <v>115.5</v>
      </c>
      <c r="X70" s="2">
        <v>117.3</v>
      </c>
      <c r="Y70" s="2">
        <v>114.8</v>
      </c>
      <c r="Z70" s="2">
        <v>110.8</v>
      </c>
      <c r="AA70" s="2">
        <v>113.7</v>
      </c>
      <c r="AB70" s="2">
        <v>119</v>
      </c>
      <c r="AC70" s="2">
        <v>109.1</v>
      </c>
      <c r="AD70" s="2">
        <v>113.8</v>
      </c>
      <c r="AE70" s="2">
        <v>120.1</v>
      </c>
      <c r="AG70" s="20">
        <f t="shared" si="4"/>
        <v>121.78461538461539</v>
      </c>
      <c r="AH70" s="2">
        <v>122.1</v>
      </c>
      <c r="AI70" s="20">
        <f t="shared" si="5"/>
        <v>111.06666666666666</v>
      </c>
      <c r="AJ70" s="20">
        <f t="shared" si="6"/>
        <v>120.7</v>
      </c>
      <c r="AK70" s="20">
        <f t="shared" si="7"/>
        <v>113.53333333333332</v>
      </c>
    </row>
    <row r="71" spans="1:37" ht="26.5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122.4</v>
      </c>
      <c r="F71" s="2">
        <v>122.4</v>
      </c>
      <c r="G71" s="2">
        <v>121.8</v>
      </c>
      <c r="H71" s="2">
        <v>124.2</v>
      </c>
      <c r="I71" s="2">
        <v>110.2</v>
      </c>
      <c r="J71" s="2">
        <v>128.6</v>
      </c>
      <c r="K71" s="2">
        <v>140.30000000000001</v>
      </c>
      <c r="L71" s="2">
        <v>116.3</v>
      </c>
      <c r="M71" s="2">
        <v>102</v>
      </c>
      <c r="N71" s="2">
        <v>116</v>
      </c>
      <c r="O71" s="2">
        <v>117.3</v>
      </c>
      <c r="P71" s="2">
        <v>124.8</v>
      </c>
      <c r="Q71" s="2">
        <v>123.3</v>
      </c>
      <c r="R71" s="2">
        <v>121.7</v>
      </c>
      <c r="S71" s="2">
        <v>123.8</v>
      </c>
      <c r="T71" s="2">
        <v>120.6</v>
      </c>
      <c r="U71" s="2">
        <v>123.3</v>
      </c>
      <c r="V71" s="2">
        <f>VLOOKUP($A71,'Impute housing Missing Value'!$A$1:$C$125,3,0)</f>
        <v>116.5</v>
      </c>
      <c r="W71" s="2">
        <v>117.4</v>
      </c>
      <c r="X71" s="2">
        <v>118.2</v>
      </c>
      <c r="Y71" s="2">
        <v>116.2</v>
      </c>
      <c r="Z71" s="2">
        <v>111.5</v>
      </c>
      <c r="AA71" s="2">
        <v>113.3</v>
      </c>
      <c r="AB71" s="2">
        <v>117.7</v>
      </c>
      <c r="AC71" s="2">
        <v>109.4</v>
      </c>
      <c r="AD71" s="2">
        <v>114.2</v>
      </c>
      <c r="AE71" s="2">
        <v>120.3</v>
      </c>
      <c r="AG71" s="20">
        <f t="shared" si="4"/>
        <v>120.73846153846154</v>
      </c>
      <c r="AH71" s="2">
        <v>121.7</v>
      </c>
      <c r="AI71" s="20">
        <f t="shared" si="5"/>
        <v>117.36666666666667</v>
      </c>
      <c r="AJ71" s="20">
        <f t="shared" si="6"/>
        <v>122.56666666666666</v>
      </c>
      <c r="AK71" s="20">
        <f t="shared" si="7"/>
        <v>113.71666666666668</v>
      </c>
    </row>
    <row r="72" spans="1:37" ht="26.5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124</v>
      </c>
      <c r="F72" s="2">
        <v>124.7</v>
      </c>
      <c r="G72" s="2">
        <v>126.3</v>
      </c>
      <c r="H72" s="2">
        <v>124.9</v>
      </c>
      <c r="I72" s="2">
        <v>103</v>
      </c>
      <c r="J72" s="2">
        <v>122.3</v>
      </c>
      <c r="K72" s="2">
        <v>141</v>
      </c>
      <c r="L72" s="2">
        <v>120.1</v>
      </c>
      <c r="M72" s="2">
        <v>97.8</v>
      </c>
      <c r="N72" s="2">
        <v>125.4</v>
      </c>
      <c r="O72" s="2">
        <v>116.1</v>
      </c>
      <c r="P72" s="2">
        <v>127.6</v>
      </c>
      <c r="Q72" s="2">
        <v>124</v>
      </c>
      <c r="R72" s="2">
        <v>126.4</v>
      </c>
      <c r="S72" s="2">
        <v>120.7</v>
      </c>
      <c r="T72" s="2">
        <v>115.8</v>
      </c>
      <c r="U72" s="2">
        <v>120</v>
      </c>
      <c r="V72" s="2">
        <v>100.4</v>
      </c>
      <c r="W72" s="2">
        <v>113</v>
      </c>
      <c r="X72" s="2">
        <v>116.8</v>
      </c>
      <c r="Y72" s="2">
        <v>113.2</v>
      </c>
      <c r="Z72" s="2">
        <v>108.8</v>
      </c>
      <c r="AA72" s="2">
        <v>114.3</v>
      </c>
      <c r="AB72" s="2">
        <v>120.7</v>
      </c>
      <c r="AC72" s="2">
        <v>110.4</v>
      </c>
      <c r="AD72" s="2">
        <v>113.4</v>
      </c>
      <c r="AE72" s="2">
        <v>118.4</v>
      </c>
      <c r="AG72" s="20">
        <f t="shared" si="4"/>
        <v>121.32307692307691</v>
      </c>
      <c r="AH72" s="2">
        <v>126.4</v>
      </c>
      <c r="AI72" s="20">
        <f t="shared" si="5"/>
        <v>110.06666666666666</v>
      </c>
      <c r="AJ72" s="20">
        <f t="shared" si="6"/>
        <v>118.83333333333333</v>
      </c>
      <c r="AK72" s="20">
        <f t="shared" si="7"/>
        <v>113.46666666666665</v>
      </c>
    </row>
    <row r="73" spans="1:37" ht="26.5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122.9</v>
      </c>
      <c r="F73" s="2">
        <v>123.2</v>
      </c>
      <c r="G73" s="2">
        <v>123.5</v>
      </c>
      <c r="H73" s="2">
        <v>124.5</v>
      </c>
      <c r="I73" s="2">
        <v>107.6</v>
      </c>
      <c r="J73" s="2">
        <v>125.7</v>
      </c>
      <c r="K73" s="2">
        <v>140.5</v>
      </c>
      <c r="L73" s="2">
        <v>117.6</v>
      </c>
      <c r="M73" s="2">
        <v>100.6</v>
      </c>
      <c r="N73" s="2">
        <v>119.1</v>
      </c>
      <c r="O73" s="2">
        <v>116.8</v>
      </c>
      <c r="P73" s="2">
        <v>126.1</v>
      </c>
      <c r="Q73" s="2">
        <v>123.6</v>
      </c>
      <c r="R73" s="2">
        <v>123</v>
      </c>
      <c r="S73" s="2">
        <v>122.6</v>
      </c>
      <c r="T73" s="2">
        <v>118.6</v>
      </c>
      <c r="U73" s="2">
        <v>122</v>
      </c>
      <c r="V73" s="2">
        <v>100.4</v>
      </c>
      <c r="W73" s="2">
        <v>115.7</v>
      </c>
      <c r="X73" s="2">
        <v>117.5</v>
      </c>
      <c r="Y73" s="2">
        <v>115.1</v>
      </c>
      <c r="Z73" s="2">
        <v>110.1</v>
      </c>
      <c r="AA73" s="2">
        <v>113.9</v>
      </c>
      <c r="AB73" s="2">
        <v>119.5</v>
      </c>
      <c r="AC73" s="2">
        <v>109.8</v>
      </c>
      <c r="AD73" s="2">
        <v>113.8</v>
      </c>
      <c r="AE73" s="2">
        <v>119.4</v>
      </c>
      <c r="AG73" s="20">
        <f t="shared" si="4"/>
        <v>120.89999999999999</v>
      </c>
      <c r="AH73" s="2">
        <v>123</v>
      </c>
      <c r="AI73" s="20">
        <f t="shared" si="5"/>
        <v>111.2</v>
      </c>
      <c r="AJ73" s="20">
        <f t="shared" si="6"/>
        <v>121.06666666666666</v>
      </c>
      <c r="AK73" s="20">
        <f t="shared" si="7"/>
        <v>113.69999999999999</v>
      </c>
    </row>
    <row r="74" spans="1:37" ht="15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123.1</v>
      </c>
      <c r="F74" s="2">
        <v>123.1</v>
      </c>
      <c r="G74" s="2">
        <v>122.1</v>
      </c>
      <c r="H74" s="2">
        <v>124.9</v>
      </c>
      <c r="I74" s="2">
        <v>111</v>
      </c>
      <c r="J74" s="2">
        <v>130.4</v>
      </c>
      <c r="K74" s="2">
        <v>132.30000000000001</v>
      </c>
      <c r="L74" s="2">
        <v>117.2</v>
      </c>
      <c r="M74" s="2">
        <v>100.5</v>
      </c>
      <c r="N74" s="2">
        <v>117.2</v>
      </c>
      <c r="O74" s="2">
        <v>117.9</v>
      </c>
      <c r="P74" s="2">
        <v>125.6</v>
      </c>
      <c r="Q74" s="2">
        <v>122.8</v>
      </c>
      <c r="R74" s="2">
        <v>122.7</v>
      </c>
      <c r="S74" s="2">
        <v>124.4</v>
      </c>
      <c r="T74" s="2">
        <v>121.6</v>
      </c>
      <c r="U74" s="2">
        <v>124</v>
      </c>
      <c r="V74" s="2">
        <f>VLOOKUP($A74,'Impute housing Missing Value'!$A$1:$C$125,3,0)</f>
        <v>117.3</v>
      </c>
      <c r="W74" s="2">
        <v>118.4</v>
      </c>
      <c r="X74" s="2">
        <v>118.9</v>
      </c>
      <c r="Y74" s="2">
        <v>116.6</v>
      </c>
      <c r="Z74" s="2">
        <v>111</v>
      </c>
      <c r="AA74" s="2">
        <v>114</v>
      </c>
      <c r="AB74" s="2">
        <v>118.2</v>
      </c>
      <c r="AC74" s="2">
        <v>110.2</v>
      </c>
      <c r="AD74" s="2">
        <v>114.5</v>
      </c>
      <c r="AE74" s="2">
        <v>120.3</v>
      </c>
      <c r="AG74" s="20">
        <f t="shared" si="4"/>
        <v>120.62307692307692</v>
      </c>
      <c r="AH74" s="2">
        <v>122.7</v>
      </c>
      <c r="AI74" s="20">
        <f t="shared" si="5"/>
        <v>118.2</v>
      </c>
      <c r="AJ74" s="20">
        <f t="shared" si="6"/>
        <v>123.33333333333333</v>
      </c>
      <c r="AK74" s="20">
        <f t="shared" si="7"/>
        <v>114.08333333333333</v>
      </c>
    </row>
    <row r="75" spans="1:37" ht="15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124</v>
      </c>
      <c r="F75" s="2">
        <v>125.5</v>
      </c>
      <c r="G75" s="2">
        <v>126.6</v>
      </c>
      <c r="H75" s="2">
        <v>125.2</v>
      </c>
      <c r="I75" s="2">
        <v>104.3</v>
      </c>
      <c r="J75" s="2">
        <v>121.3</v>
      </c>
      <c r="K75" s="2">
        <v>134.4</v>
      </c>
      <c r="L75" s="2">
        <v>122.9</v>
      </c>
      <c r="M75" s="2">
        <v>96.1</v>
      </c>
      <c r="N75" s="2">
        <v>126.6</v>
      </c>
      <c r="O75" s="2">
        <v>116.5</v>
      </c>
      <c r="P75" s="2">
        <v>128</v>
      </c>
      <c r="Q75" s="2">
        <v>123.5</v>
      </c>
      <c r="R75" s="2">
        <v>127.4</v>
      </c>
      <c r="S75" s="2">
        <v>121</v>
      </c>
      <c r="T75" s="2">
        <v>116.1</v>
      </c>
      <c r="U75" s="2">
        <v>120.2</v>
      </c>
      <c r="V75" s="2">
        <v>100.4</v>
      </c>
      <c r="W75" s="2">
        <v>113.4</v>
      </c>
      <c r="X75" s="2">
        <v>117.2</v>
      </c>
      <c r="Y75" s="2">
        <v>113.7</v>
      </c>
      <c r="Z75" s="2">
        <v>107.9</v>
      </c>
      <c r="AA75" s="2">
        <v>114.6</v>
      </c>
      <c r="AB75" s="2">
        <v>120.8</v>
      </c>
      <c r="AC75" s="2">
        <v>111.4</v>
      </c>
      <c r="AD75" s="2">
        <v>113.4</v>
      </c>
      <c r="AE75" s="2">
        <v>118.5</v>
      </c>
      <c r="AG75" s="20">
        <f t="shared" si="4"/>
        <v>121.14615384615384</v>
      </c>
      <c r="AH75" s="2">
        <v>127.4</v>
      </c>
      <c r="AI75" s="20">
        <f t="shared" si="5"/>
        <v>110.33333333333333</v>
      </c>
      <c r="AJ75" s="20">
        <f t="shared" si="6"/>
        <v>119.10000000000001</v>
      </c>
      <c r="AK75" s="20">
        <f t="shared" si="7"/>
        <v>113.63333333333334</v>
      </c>
    </row>
    <row r="76" spans="1:37" ht="26.5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123.4</v>
      </c>
      <c r="F76" s="2">
        <v>123.9</v>
      </c>
      <c r="G76" s="2">
        <v>123.8</v>
      </c>
      <c r="H76" s="2">
        <v>125</v>
      </c>
      <c r="I76" s="2">
        <v>108.5</v>
      </c>
      <c r="J76" s="2">
        <v>126.2</v>
      </c>
      <c r="K76" s="2">
        <v>133</v>
      </c>
      <c r="L76" s="2">
        <v>119.1</v>
      </c>
      <c r="M76" s="2">
        <v>99</v>
      </c>
      <c r="N76" s="2">
        <v>120.3</v>
      </c>
      <c r="O76" s="2">
        <v>117.3</v>
      </c>
      <c r="P76" s="2">
        <v>126.7</v>
      </c>
      <c r="Q76" s="2">
        <v>123.1</v>
      </c>
      <c r="R76" s="2">
        <v>124</v>
      </c>
      <c r="S76" s="2">
        <v>123.1</v>
      </c>
      <c r="T76" s="2">
        <v>119.3</v>
      </c>
      <c r="U76" s="2">
        <v>122.5</v>
      </c>
      <c r="V76" s="2">
        <v>100.4</v>
      </c>
      <c r="W76" s="2">
        <v>116.5</v>
      </c>
      <c r="X76" s="2">
        <v>118.1</v>
      </c>
      <c r="Y76" s="2">
        <v>115.5</v>
      </c>
      <c r="Z76" s="2">
        <v>109.4</v>
      </c>
      <c r="AA76" s="2">
        <v>114.3</v>
      </c>
      <c r="AB76" s="2">
        <v>119.7</v>
      </c>
      <c r="AC76" s="2">
        <v>110.7</v>
      </c>
      <c r="AD76" s="2">
        <v>114</v>
      </c>
      <c r="AE76" s="2">
        <v>119.5</v>
      </c>
      <c r="AG76" s="20">
        <f t="shared" si="4"/>
        <v>120.71538461538461</v>
      </c>
      <c r="AH76" s="2">
        <v>124</v>
      </c>
      <c r="AI76" s="20">
        <f t="shared" si="5"/>
        <v>111.66666666666667</v>
      </c>
      <c r="AJ76" s="20">
        <f t="shared" si="6"/>
        <v>121.63333333333333</v>
      </c>
      <c r="AK76" s="20">
        <f t="shared" si="7"/>
        <v>113.93333333333334</v>
      </c>
    </row>
    <row r="77" spans="1:37" ht="15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123.4</v>
      </c>
      <c r="F77" s="2">
        <v>124.4</v>
      </c>
      <c r="G77" s="2">
        <v>122.1</v>
      </c>
      <c r="H77" s="2">
        <v>125.8</v>
      </c>
      <c r="I77" s="2">
        <v>111.5</v>
      </c>
      <c r="J77" s="2">
        <v>129.4</v>
      </c>
      <c r="K77" s="2">
        <v>128.19999999999999</v>
      </c>
      <c r="L77" s="2">
        <v>118.8</v>
      </c>
      <c r="M77" s="2">
        <v>100</v>
      </c>
      <c r="N77" s="2">
        <v>118.6</v>
      </c>
      <c r="O77" s="2">
        <v>118.8</v>
      </c>
      <c r="P77" s="2">
        <v>126.8</v>
      </c>
      <c r="Q77" s="2">
        <v>122.8</v>
      </c>
      <c r="R77" s="2">
        <v>124.2</v>
      </c>
      <c r="S77" s="2">
        <v>125.4</v>
      </c>
      <c r="T77" s="2">
        <v>122.7</v>
      </c>
      <c r="U77" s="2">
        <v>125</v>
      </c>
      <c r="V77" s="2">
        <f>VLOOKUP($A77,'Impute housing Missing Value'!$A$1:$C$125,3,0)</f>
        <v>118.1</v>
      </c>
      <c r="W77" s="2">
        <v>120</v>
      </c>
      <c r="X77" s="2">
        <v>119.6</v>
      </c>
      <c r="Y77" s="2">
        <v>117.7</v>
      </c>
      <c r="Z77" s="2">
        <v>110.9</v>
      </c>
      <c r="AA77" s="2">
        <v>114.8</v>
      </c>
      <c r="AB77" s="2">
        <v>118.7</v>
      </c>
      <c r="AC77" s="2">
        <v>110.8</v>
      </c>
      <c r="AD77" s="2">
        <v>115</v>
      </c>
      <c r="AE77" s="2">
        <v>120.6</v>
      </c>
      <c r="AG77" s="20">
        <f t="shared" si="4"/>
        <v>120.81538461538459</v>
      </c>
      <c r="AH77" s="2">
        <v>124.2</v>
      </c>
      <c r="AI77" s="20">
        <f t="shared" si="5"/>
        <v>119.23333333333333</v>
      </c>
      <c r="AJ77" s="20">
        <f t="shared" si="6"/>
        <v>124.36666666666667</v>
      </c>
      <c r="AK77" s="20">
        <f t="shared" si="7"/>
        <v>114.64999999999999</v>
      </c>
    </row>
    <row r="78" spans="1:37" ht="15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124.3</v>
      </c>
      <c r="F78" s="2">
        <v>126.5</v>
      </c>
      <c r="G78" s="2">
        <v>119.5</v>
      </c>
      <c r="H78" s="2">
        <v>125.6</v>
      </c>
      <c r="I78" s="2">
        <v>104.9</v>
      </c>
      <c r="J78" s="2">
        <v>121.6</v>
      </c>
      <c r="K78" s="2">
        <v>131.80000000000001</v>
      </c>
      <c r="L78" s="2">
        <v>125.1</v>
      </c>
      <c r="M78" s="2">
        <v>95</v>
      </c>
      <c r="N78" s="2">
        <v>127.7</v>
      </c>
      <c r="O78" s="2">
        <v>116.8</v>
      </c>
      <c r="P78" s="2">
        <v>128.6</v>
      </c>
      <c r="Q78" s="2">
        <v>123.7</v>
      </c>
      <c r="R78" s="2">
        <v>128.1</v>
      </c>
      <c r="S78" s="2">
        <v>121.3</v>
      </c>
      <c r="T78" s="2">
        <v>116.5</v>
      </c>
      <c r="U78" s="2">
        <v>120.6</v>
      </c>
      <c r="V78" s="2">
        <v>100.4</v>
      </c>
      <c r="W78" s="2">
        <v>114</v>
      </c>
      <c r="X78" s="2">
        <v>117.7</v>
      </c>
      <c r="Y78" s="2">
        <v>114.1</v>
      </c>
      <c r="Z78" s="2">
        <v>106.8</v>
      </c>
      <c r="AA78" s="2">
        <v>114.9</v>
      </c>
      <c r="AB78" s="2">
        <v>120.4</v>
      </c>
      <c r="AC78" s="2">
        <v>111.7</v>
      </c>
      <c r="AD78" s="2">
        <v>113.2</v>
      </c>
      <c r="AE78" s="2">
        <v>118.7</v>
      </c>
      <c r="AG78" s="20">
        <f t="shared" si="4"/>
        <v>120.85384615384616</v>
      </c>
      <c r="AH78" s="2">
        <v>128.1</v>
      </c>
      <c r="AI78" s="20">
        <f t="shared" si="5"/>
        <v>110.7</v>
      </c>
      <c r="AJ78" s="20">
        <f t="shared" si="6"/>
        <v>119.46666666666665</v>
      </c>
      <c r="AK78" s="20">
        <f t="shared" si="7"/>
        <v>113.51666666666667</v>
      </c>
    </row>
    <row r="79" spans="1:37" ht="26.5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123.7</v>
      </c>
      <c r="F79" s="2">
        <v>125.1</v>
      </c>
      <c r="G79" s="2">
        <v>121.1</v>
      </c>
      <c r="H79" s="2">
        <v>125.7</v>
      </c>
      <c r="I79" s="2">
        <v>109.1</v>
      </c>
      <c r="J79" s="2">
        <v>125.8</v>
      </c>
      <c r="K79" s="2">
        <v>129.4</v>
      </c>
      <c r="L79" s="2">
        <v>120.9</v>
      </c>
      <c r="M79" s="2">
        <v>98.3</v>
      </c>
      <c r="N79" s="2">
        <v>121.6</v>
      </c>
      <c r="O79" s="2">
        <v>118</v>
      </c>
      <c r="P79" s="2">
        <v>127.6</v>
      </c>
      <c r="Q79" s="2">
        <v>123.1</v>
      </c>
      <c r="R79" s="2">
        <v>125.2</v>
      </c>
      <c r="S79" s="2">
        <v>123.8</v>
      </c>
      <c r="T79" s="2">
        <v>120.1</v>
      </c>
      <c r="U79" s="2">
        <v>123.3</v>
      </c>
      <c r="V79" s="2">
        <v>100.4</v>
      </c>
      <c r="W79" s="2">
        <v>117.7</v>
      </c>
      <c r="X79" s="2">
        <v>118.7</v>
      </c>
      <c r="Y79" s="2">
        <v>116.3</v>
      </c>
      <c r="Z79" s="2">
        <v>108.7</v>
      </c>
      <c r="AA79" s="2">
        <v>114.9</v>
      </c>
      <c r="AB79" s="2">
        <v>119.7</v>
      </c>
      <c r="AC79" s="2">
        <v>111.2</v>
      </c>
      <c r="AD79" s="2">
        <v>114.1</v>
      </c>
      <c r="AE79" s="2">
        <v>119.7</v>
      </c>
      <c r="AG79" s="20">
        <f t="shared" si="4"/>
        <v>120.72307692307689</v>
      </c>
      <c r="AH79" s="2">
        <v>125.2</v>
      </c>
      <c r="AI79" s="20">
        <f t="shared" si="5"/>
        <v>112.26666666666667</v>
      </c>
      <c r="AJ79" s="20">
        <f t="shared" si="6"/>
        <v>122.39999999999999</v>
      </c>
      <c r="AK79" s="20">
        <f t="shared" si="7"/>
        <v>114.14999999999999</v>
      </c>
    </row>
    <row r="80" spans="1:37" ht="15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123.3</v>
      </c>
      <c r="F80" s="2">
        <v>124.7</v>
      </c>
      <c r="G80" s="2">
        <v>118.9</v>
      </c>
      <c r="H80" s="2">
        <v>126</v>
      </c>
      <c r="I80" s="2">
        <v>111.8</v>
      </c>
      <c r="J80" s="2">
        <v>130.9</v>
      </c>
      <c r="K80" s="2">
        <v>128</v>
      </c>
      <c r="L80" s="2">
        <v>119.9</v>
      </c>
      <c r="M80" s="2">
        <v>98.9</v>
      </c>
      <c r="N80" s="2">
        <v>119.4</v>
      </c>
      <c r="O80" s="2">
        <v>118.9</v>
      </c>
      <c r="P80" s="2">
        <v>127.7</v>
      </c>
      <c r="Q80" s="2">
        <v>123.1</v>
      </c>
      <c r="R80" s="2">
        <v>124.7</v>
      </c>
      <c r="S80" s="2">
        <v>126</v>
      </c>
      <c r="T80" s="2">
        <v>122.9</v>
      </c>
      <c r="U80" s="2">
        <v>125.5</v>
      </c>
      <c r="V80" s="2">
        <f>VLOOKUP($A80,'Impute housing Missing Value'!$A$1:$C$125,3,0)</f>
        <v>118.6</v>
      </c>
      <c r="W80" s="2">
        <v>120.6</v>
      </c>
      <c r="X80" s="2">
        <v>120.2</v>
      </c>
      <c r="Y80" s="2">
        <v>118.2</v>
      </c>
      <c r="Z80" s="2">
        <v>111.6</v>
      </c>
      <c r="AA80" s="2">
        <v>115.5</v>
      </c>
      <c r="AB80" s="2">
        <v>119.4</v>
      </c>
      <c r="AC80" s="2">
        <v>110.8</v>
      </c>
      <c r="AD80" s="2">
        <v>115.5</v>
      </c>
      <c r="AE80" s="2">
        <v>121.1</v>
      </c>
      <c r="AG80" s="20">
        <f t="shared" si="4"/>
        <v>120.88461538461539</v>
      </c>
      <c r="AH80" s="2">
        <v>124.7</v>
      </c>
      <c r="AI80" s="20">
        <f t="shared" si="5"/>
        <v>119.8</v>
      </c>
      <c r="AJ80" s="20">
        <f t="shared" si="6"/>
        <v>124.8</v>
      </c>
      <c r="AK80" s="20">
        <f t="shared" si="7"/>
        <v>115.16666666666667</v>
      </c>
    </row>
    <row r="81" spans="1:37" ht="15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124</v>
      </c>
      <c r="F81" s="2">
        <v>126.7</v>
      </c>
      <c r="G81" s="2">
        <v>113.5</v>
      </c>
      <c r="H81" s="2">
        <v>125.9</v>
      </c>
      <c r="I81" s="2">
        <v>104.8</v>
      </c>
      <c r="J81" s="2">
        <v>123.8</v>
      </c>
      <c r="K81" s="2">
        <v>131.4</v>
      </c>
      <c r="L81" s="2">
        <v>127.2</v>
      </c>
      <c r="M81" s="2">
        <v>93.2</v>
      </c>
      <c r="N81" s="2">
        <v>127.4</v>
      </c>
      <c r="O81" s="2">
        <v>117</v>
      </c>
      <c r="P81" s="2">
        <v>129.19999999999999</v>
      </c>
      <c r="Q81" s="2">
        <v>123.9</v>
      </c>
      <c r="R81" s="2">
        <v>128.80000000000001</v>
      </c>
      <c r="S81" s="2">
        <v>121.7</v>
      </c>
      <c r="T81" s="2">
        <v>116.9</v>
      </c>
      <c r="U81" s="2">
        <v>120.9</v>
      </c>
      <c r="V81" s="2">
        <v>100.4</v>
      </c>
      <c r="W81" s="2">
        <v>114.4</v>
      </c>
      <c r="X81" s="2">
        <v>118</v>
      </c>
      <c r="Y81" s="2">
        <v>114.3</v>
      </c>
      <c r="Z81" s="2">
        <v>108.4</v>
      </c>
      <c r="AA81" s="2">
        <v>115.4</v>
      </c>
      <c r="AB81" s="2">
        <v>120.6</v>
      </c>
      <c r="AC81" s="2">
        <v>111.3</v>
      </c>
      <c r="AD81" s="2">
        <v>113.8</v>
      </c>
      <c r="AE81" s="2">
        <v>119.1</v>
      </c>
      <c r="AG81" s="20">
        <f t="shared" si="4"/>
        <v>120.61538461538463</v>
      </c>
      <c r="AH81" s="2">
        <v>128.80000000000001</v>
      </c>
      <c r="AI81" s="20">
        <f t="shared" si="5"/>
        <v>110.93333333333334</v>
      </c>
      <c r="AJ81" s="20">
        <f t="shared" si="6"/>
        <v>119.83333333333333</v>
      </c>
      <c r="AK81" s="20">
        <f t="shared" si="7"/>
        <v>113.96666666666665</v>
      </c>
    </row>
    <row r="82" spans="1:37" ht="26.5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123.5</v>
      </c>
      <c r="F82" s="2">
        <v>125.4</v>
      </c>
      <c r="G82" s="2">
        <v>116.8</v>
      </c>
      <c r="H82" s="2">
        <v>126</v>
      </c>
      <c r="I82" s="2">
        <v>109.2</v>
      </c>
      <c r="J82" s="2">
        <v>127.6</v>
      </c>
      <c r="K82" s="2">
        <v>129.19999999999999</v>
      </c>
      <c r="L82" s="2">
        <v>122.4</v>
      </c>
      <c r="M82" s="2">
        <v>97</v>
      </c>
      <c r="N82" s="2">
        <v>122.1</v>
      </c>
      <c r="O82" s="2">
        <v>118.1</v>
      </c>
      <c r="P82" s="2">
        <v>128.4</v>
      </c>
      <c r="Q82" s="2">
        <v>123.4</v>
      </c>
      <c r="R82" s="2">
        <v>125.8</v>
      </c>
      <c r="S82" s="2">
        <v>124.3</v>
      </c>
      <c r="T82" s="2">
        <v>120.4</v>
      </c>
      <c r="U82" s="2">
        <v>123.7</v>
      </c>
      <c r="V82" s="2">
        <v>100.4</v>
      </c>
      <c r="W82" s="2">
        <v>118.3</v>
      </c>
      <c r="X82" s="2">
        <v>119.2</v>
      </c>
      <c r="Y82" s="2">
        <v>116.7</v>
      </c>
      <c r="Z82" s="2">
        <v>109.9</v>
      </c>
      <c r="AA82" s="2">
        <v>115.4</v>
      </c>
      <c r="AB82" s="2">
        <v>120.1</v>
      </c>
      <c r="AC82" s="2">
        <v>111</v>
      </c>
      <c r="AD82" s="2">
        <v>114.7</v>
      </c>
      <c r="AE82" s="2">
        <v>120.2</v>
      </c>
      <c r="AG82" s="20">
        <f t="shared" si="4"/>
        <v>120.69999999999999</v>
      </c>
      <c r="AH82" s="2">
        <v>125.8</v>
      </c>
      <c r="AI82" s="20">
        <f t="shared" si="5"/>
        <v>112.63333333333333</v>
      </c>
      <c r="AJ82" s="20">
        <f t="shared" si="6"/>
        <v>122.8</v>
      </c>
      <c r="AK82" s="20">
        <f t="shared" si="7"/>
        <v>114.63333333333334</v>
      </c>
    </row>
    <row r="83" spans="1:37" ht="15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123.3</v>
      </c>
      <c r="F83" s="2">
        <v>125.5</v>
      </c>
      <c r="G83" s="2">
        <v>117.2</v>
      </c>
      <c r="H83" s="2">
        <v>126.8</v>
      </c>
      <c r="I83" s="2">
        <v>111.9</v>
      </c>
      <c r="J83" s="2">
        <v>134.19999999999999</v>
      </c>
      <c r="K83" s="2">
        <v>127.5</v>
      </c>
      <c r="L83" s="2">
        <v>121.5</v>
      </c>
      <c r="M83" s="2">
        <v>97.8</v>
      </c>
      <c r="N83" s="2">
        <v>119.8</v>
      </c>
      <c r="O83" s="2">
        <v>119.4</v>
      </c>
      <c r="P83" s="2">
        <v>128.69999999999999</v>
      </c>
      <c r="Q83" s="2">
        <v>123.6</v>
      </c>
      <c r="R83" s="2">
        <v>125.7</v>
      </c>
      <c r="S83" s="2">
        <v>126.4</v>
      </c>
      <c r="T83" s="2">
        <v>123.3</v>
      </c>
      <c r="U83" s="2">
        <v>126</v>
      </c>
      <c r="V83" s="2">
        <f>VLOOKUP($A83,'Impute housing Missing Value'!$A$1:$C$125,3,0)</f>
        <v>119.2</v>
      </c>
      <c r="W83" s="2">
        <v>121.2</v>
      </c>
      <c r="X83" s="2">
        <v>120.9</v>
      </c>
      <c r="Y83" s="2">
        <v>118.6</v>
      </c>
      <c r="Z83" s="2">
        <v>111.9</v>
      </c>
      <c r="AA83" s="2">
        <v>116.2</v>
      </c>
      <c r="AB83" s="2">
        <v>119.9</v>
      </c>
      <c r="AC83" s="2">
        <v>111.6</v>
      </c>
      <c r="AD83" s="2">
        <v>116</v>
      </c>
      <c r="AE83" s="2">
        <v>121.5</v>
      </c>
      <c r="AG83" s="20">
        <f t="shared" si="4"/>
        <v>121.32307692307693</v>
      </c>
      <c r="AH83" s="2">
        <v>125.7</v>
      </c>
      <c r="AI83" s="20">
        <f t="shared" si="5"/>
        <v>120.43333333333334</v>
      </c>
      <c r="AJ83" s="20">
        <f t="shared" si="6"/>
        <v>125.23333333333333</v>
      </c>
      <c r="AK83" s="20">
        <f t="shared" si="7"/>
        <v>115.7</v>
      </c>
    </row>
    <row r="84" spans="1:37" ht="15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123.8</v>
      </c>
      <c r="F84" s="2">
        <v>128.19999999999999</v>
      </c>
      <c r="G84" s="2">
        <v>110</v>
      </c>
      <c r="H84" s="2">
        <v>126.3</v>
      </c>
      <c r="I84" s="2">
        <v>104.5</v>
      </c>
      <c r="J84" s="2">
        <v>130.6</v>
      </c>
      <c r="K84" s="2">
        <v>130.80000000000001</v>
      </c>
      <c r="L84" s="2">
        <v>131.30000000000001</v>
      </c>
      <c r="M84" s="2">
        <v>91.6</v>
      </c>
      <c r="N84" s="2">
        <v>127.7</v>
      </c>
      <c r="O84" s="2">
        <v>117.2</v>
      </c>
      <c r="P84" s="2">
        <v>129.5</v>
      </c>
      <c r="Q84" s="2">
        <v>124.6</v>
      </c>
      <c r="R84" s="2">
        <v>130.1</v>
      </c>
      <c r="S84" s="2">
        <v>122.1</v>
      </c>
      <c r="T84" s="2">
        <v>117.2</v>
      </c>
      <c r="U84" s="2">
        <v>121.3</v>
      </c>
      <c r="V84" s="2">
        <v>100.4</v>
      </c>
      <c r="W84" s="2">
        <v>114.7</v>
      </c>
      <c r="X84" s="2">
        <v>118.4</v>
      </c>
      <c r="Y84" s="2">
        <v>114.6</v>
      </c>
      <c r="Z84" s="2">
        <v>108.4</v>
      </c>
      <c r="AA84" s="2">
        <v>115.6</v>
      </c>
      <c r="AB84" s="2">
        <v>121.7</v>
      </c>
      <c r="AC84" s="2">
        <v>111.8</v>
      </c>
      <c r="AD84" s="2">
        <v>114.2</v>
      </c>
      <c r="AE84" s="2">
        <v>119.7</v>
      </c>
      <c r="AG84" s="20">
        <f t="shared" si="4"/>
        <v>121.23846153846154</v>
      </c>
      <c r="AH84" s="2">
        <v>130.1</v>
      </c>
      <c r="AI84" s="20">
        <f t="shared" si="5"/>
        <v>111.16666666666667</v>
      </c>
      <c r="AJ84" s="20">
        <f t="shared" si="6"/>
        <v>120.2</v>
      </c>
      <c r="AK84" s="20">
        <f t="shared" si="7"/>
        <v>114.38333333333334</v>
      </c>
    </row>
    <row r="85" spans="1:37" ht="26.5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123.5</v>
      </c>
      <c r="F85" s="2">
        <v>126.4</v>
      </c>
      <c r="G85" s="2">
        <v>114.4</v>
      </c>
      <c r="H85" s="2">
        <v>126.6</v>
      </c>
      <c r="I85" s="2">
        <v>109.2</v>
      </c>
      <c r="J85" s="2">
        <v>132.5</v>
      </c>
      <c r="K85" s="2">
        <v>128.6</v>
      </c>
      <c r="L85" s="2">
        <v>124.8</v>
      </c>
      <c r="M85" s="2">
        <v>95.7</v>
      </c>
      <c r="N85" s="2">
        <v>122.4</v>
      </c>
      <c r="O85" s="2">
        <v>118.5</v>
      </c>
      <c r="P85" s="2">
        <v>129.1</v>
      </c>
      <c r="Q85" s="2">
        <v>124</v>
      </c>
      <c r="R85" s="2">
        <v>126.9</v>
      </c>
      <c r="S85" s="2">
        <v>124.7</v>
      </c>
      <c r="T85" s="2">
        <v>120.8</v>
      </c>
      <c r="U85" s="2">
        <v>124.1</v>
      </c>
      <c r="V85" s="2">
        <v>100.4</v>
      </c>
      <c r="W85" s="2">
        <v>118.7</v>
      </c>
      <c r="X85" s="2">
        <v>119.7</v>
      </c>
      <c r="Y85" s="2">
        <v>117.1</v>
      </c>
      <c r="Z85" s="2">
        <v>110.1</v>
      </c>
      <c r="AA85" s="2">
        <v>115.9</v>
      </c>
      <c r="AB85" s="2">
        <v>121</v>
      </c>
      <c r="AC85" s="2">
        <v>111.7</v>
      </c>
      <c r="AD85" s="2">
        <v>115.1</v>
      </c>
      <c r="AE85" s="2">
        <v>120.7</v>
      </c>
      <c r="AG85" s="20">
        <f t="shared" si="4"/>
        <v>121.20769230769231</v>
      </c>
      <c r="AH85" s="2">
        <v>126.9</v>
      </c>
      <c r="AI85" s="20">
        <f t="shared" si="5"/>
        <v>112.93333333333334</v>
      </c>
      <c r="AJ85" s="20">
        <f t="shared" si="6"/>
        <v>123.2</v>
      </c>
      <c r="AK85" s="20">
        <f t="shared" si="7"/>
        <v>115.15000000000002</v>
      </c>
    </row>
    <row r="86" spans="1:37" ht="15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123.5</v>
      </c>
      <c r="F86" s="2">
        <v>127.1</v>
      </c>
      <c r="G86" s="2">
        <v>117.3</v>
      </c>
      <c r="H86" s="2">
        <v>127.7</v>
      </c>
      <c r="I86" s="2">
        <v>112.5</v>
      </c>
      <c r="J86" s="2">
        <v>134.1</v>
      </c>
      <c r="K86" s="2">
        <v>128.5</v>
      </c>
      <c r="L86" s="2">
        <v>124.3</v>
      </c>
      <c r="M86" s="2">
        <v>97.6</v>
      </c>
      <c r="N86" s="2">
        <v>120.7</v>
      </c>
      <c r="O86" s="2">
        <v>120.2</v>
      </c>
      <c r="P86" s="2">
        <v>129.80000000000001</v>
      </c>
      <c r="Q86" s="2">
        <v>124.4</v>
      </c>
      <c r="R86" s="2">
        <v>126.7</v>
      </c>
      <c r="S86" s="2">
        <v>127.3</v>
      </c>
      <c r="T86" s="2">
        <v>124.1</v>
      </c>
      <c r="U86" s="2">
        <v>126.8</v>
      </c>
      <c r="V86" s="2">
        <f>VLOOKUP($A86,'Impute housing Missing Value'!$A$1:$C$125,3,0)</f>
        <v>119.6</v>
      </c>
      <c r="W86" s="2">
        <v>121.9</v>
      </c>
      <c r="X86" s="2">
        <v>121.5</v>
      </c>
      <c r="Y86" s="2">
        <v>119.4</v>
      </c>
      <c r="Z86" s="2">
        <v>113.3</v>
      </c>
      <c r="AA86" s="2">
        <v>116.7</v>
      </c>
      <c r="AB86" s="2">
        <v>120.5</v>
      </c>
      <c r="AC86" s="2">
        <v>112.3</v>
      </c>
      <c r="AD86" s="2">
        <v>116.9</v>
      </c>
      <c r="AE86" s="2">
        <v>122.4</v>
      </c>
      <c r="AG86" s="20">
        <f t="shared" si="4"/>
        <v>122.13076923076923</v>
      </c>
      <c r="AH86" s="2">
        <v>126.7</v>
      </c>
      <c r="AI86" s="20">
        <f t="shared" si="5"/>
        <v>121</v>
      </c>
      <c r="AJ86" s="20">
        <f t="shared" si="6"/>
        <v>126.06666666666666</v>
      </c>
      <c r="AK86" s="20">
        <f t="shared" si="7"/>
        <v>116.51666666666665</v>
      </c>
    </row>
    <row r="87" spans="1:37" ht="15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123.8</v>
      </c>
      <c r="F87" s="2">
        <v>129.69999999999999</v>
      </c>
      <c r="G87" s="2">
        <v>111.3</v>
      </c>
      <c r="H87" s="2">
        <v>126.6</v>
      </c>
      <c r="I87" s="2">
        <v>105.2</v>
      </c>
      <c r="J87" s="2">
        <v>130.80000000000001</v>
      </c>
      <c r="K87" s="2">
        <v>135.6</v>
      </c>
      <c r="L87" s="2">
        <v>142.6</v>
      </c>
      <c r="M87" s="2">
        <v>90.8</v>
      </c>
      <c r="N87" s="2">
        <v>128.80000000000001</v>
      </c>
      <c r="O87" s="2">
        <v>117.7</v>
      </c>
      <c r="P87" s="2">
        <v>129.9</v>
      </c>
      <c r="Q87" s="2">
        <v>126.1</v>
      </c>
      <c r="R87" s="2">
        <v>131.30000000000001</v>
      </c>
      <c r="S87" s="2">
        <v>122.4</v>
      </c>
      <c r="T87" s="2">
        <v>117.4</v>
      </c>
      <c r="U87" s="2">
        <v>121.6</v>
      </c>
      <c r="V87" s="2">
        <v>100.4</v>
      </c>
      <c r="W87" s="2">
        <v>114.9</v>
      </c>
      <c r="X87" s="2">
        <v>118.7</v>
      </c>
      <c r="Y87" s="2">
        <v>114.9</v>
      </c>
      <c r="Z87" s="2">
        <v>110.8</v>
      </c>
      <c r="AA87" s="2">
        <v>116</v>
      </c>
      <c r="AB87" s="2">
        <v>122</v>
      </c>
      <c r="AC87" s="2">
        <v>112.4</v>
      </c>
      <c r="AD87" s="2">
        <v>115.2</v>
      </c>
      <c r="AE87" s="2">
        <v>120.7</v>
      </c>
      <c r="AG87" s="20">
        <f t="shared" si="4"/>
        <v>122.9923076923077</v>
      </c>
      <c r="AH87" s="2">
        <v>131.30000000000001</v>
      </c>
      <c r="AI87" s="20">
        <f t="shared" si="5"/>
        <v>111.33333333333333</v>
      </c>
      <c r="AJ87" s="20">
        <f t="shared" si="6"/>
        <v>120.46666666666665</v>
      </c>
      <c r="AK87" s="20">
        <f t="shared" si="7"/>
        <v>115.21666666666668</v>
      </c>
    </row>
    <row r="88" spans="1:37" ht="26.5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123.6</v>
      </c>
      <c r="F88" s="2">
        <v>128</v>
      </c>
      <c r="G88" s="2">
        <v>115</v>
      </c>
      <c r="H88" s="2">
        <v>127.3</v>
      </c>
      <c r="I88" s="2">
        <v>109.8</v>
      </c>
      <c r="J88" s="2">
        <v>132.6</v>
      </c>
      <c r="K88" s="2">
        <v>130.9</v>
      </c>
      <c r="L88" s="2">
        <v>130.5</v>
      </c>
      <c r="M88" s="2">
        <v>95.3</v>
      </c>
      <c r="N88" s="2">
        <v>123.4</v>
      </c>
      <c r="O88" s="2">
        <v>119.2</v>
      </c>
      <c r="P88" s="2">
        <v>129.80000000000001</v>
      </c>
      <c r="Q88" s="2">
        <v>125</v>
      </c>
      <c r="R88" s="2">
        <v>127.9</v>
      </c>
      <c r="S88" s="2">
        <v>125.4</v>
      </c>
      <c r="T88" s="2">
        <v>121.3</v>
      </c>
      <c r="U88" s="2">
        <v>124.7</v>
      </c>
      <c r="V88" s="2">
        <v>100.4</v>
      </c>
      <c r="W88" s="2">
        <v>119.2</v>
      </c>
      <c r="X88" s="2">
        <v>120.2</v>
      </c>
      <c r="Y88" s="2">
        <v>117.7</v>
      </c>
      <c r="Z88" s="2">
        <v>112</v>
      </c>
      <c r="AA88" s="2">
        <v>116.3</v>
      </c>
      <c r="AB88" s="2">
        <v>121.4</v>
      </c>
      <c r="AC88" s="2">
        <v>112.3</v>
      </c>
      <c r="AD88" s="2">
        <v>116.1</v>
      </c>
      <c r="AE88" s="2">
        <v>121.6</v>
      </c>
      <c r="AG88" s="20">
        <f t="shared" si="4"/>
        <v>122.33846153846154</v>
      </c>
      <c r="AH88" s="2">
        <v>127.9</v>
      </c>
      <c r="AI88" s="20">
        <f t="shared" si="5"/>
        <v>113.26666666666667</v>
      </c>
      <c r="AJ88" s="20">
        <f t="shared" si="6"/>
        <v>123.8</v>
      </c>
      <c r="AK88" s="20">
        <f t="shared" si="7"/>
        <v>115.96666666666665</v>
      </c>
    </row>
    <row r="89" spans="1:37" ht="15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F89" s="2">
        <v>130.4</v>
      </c>
      <c r="G89" s="2">
        <v>122.1</v>
      </c>
      <c r="H89" s="2">
        <v>128.69999999999999</v>
      </c>
      <c r="I89" s="2">
        <v>114.1</v>
      </c>
      <c r="J89" s="2">
        <v>133.19999999999999</v>
      </c>
      <c r="K89" s="2">
        <v>135.19999999999999</v>
      </c>
      <c r="L89" s="2">
        <v>131.9</v>
      </c>
      <c r="M89" s="2">
        <v>96.3</v>
      </c>
      <c r="N89" s="2">
        <v>123</v>
      </c>
      <c r="O89" s="2">
        <v>121.1</v>
      </c>
      <c r="P89" s="2">
        <v>131.19999999999999</v>
      </c>
      <c r="Q89" s="2">
        <v>126.6</v>
      </c>
      <c r="R89" s="2">
        <v>128.19999999999999</v>
      </c>
      <c r="S89" s="2">
        <v>128.4</v>
      </c>
      <c r="T89" s="2">
        <v>125.1</v>
      </c>
      <c r="U89" s="2">
        <v>128</v>
      </c>
      <c r="V89" s="2">
        <f>VLOOKUP($A89,'Impute housing Missing Value'!$A$1:$C$125,3,0)</f>
        <v>119</v>
      </c>
      <c r="W89" s="2">
        <v>122.6</v>
      </c>
      <c r="X89" s="2">
        <v>122.8</v>
      </c>
      <c r="Y89" s="2">
        <v>120.4</v>
      </c>
      <c r="Z89" s="2">
        <v>114.2</v>
      </c>
      <c r="AA89" s="2">
        <v>117.9</v>
      </c>
      <c r="AB89" s="2">
        <v>122</v>
      </c>
      <c r="AC89" s="2">
        <v>113</v>
      </c>
      <c r="AD89" s="2">
        <v>117.9</v>
      </c>
      <c r="AE89" s="2">
        <v>124.1</v>
      </c>
      <c r="AG89" s="20">
        <f t="shared" si="4"/>
        <v>124.45384615384614</v>
      </c>
      <c r="AH89" s="2">
        <v>128.19999999999999</v>
      </c>
      <c r="AI89" s="20">
        <f t="shared" si="5"/>
        <v>121.46666666666665</v>
      </c>
      <c r="AJ89" s="20">
        <f t="shared" si="6"/>
        <v>127.16666666666667</v>
      </c>
      <c r="AK89" s="20">
        <f t="shared" si="7"/>
        <v>117.56666666666666</v>
      </c>
    </row>
    <row r="90" spans="1:37" ht="15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123.6</v>
      </c>
      <c r="F90" s="2">
        <v>134.4</v>
      </c>
      <c r="G90" s="2">
        <v>120.9</v>
      </c>
      <c r="H90" s="2">
        <v>127.3</v>
      </c>
      <c r="I90" s="2">
        <v>106</v>
      </c>
      <c r="J90" s="2">
        <v>132.30000000000001</v>
      </c>
      <c r="K90" s="2">
        <v>146.69999999999999</v>
      </c>
      <c r="L90" s="2">
        <v>148.1</v>
      </c>
      <c r="M90" s="2">
        <v>89.8</v>
      </c>
      <c r="N90" s="2">
        <v>130.5</v>
      </c>
      <c r="O90" s="2">
        <v>118</v>
      </c>
      <c r="P90" s="2">
        <v>130.5</v>
      </c>
      <c r="Q90" s="2">
        <v>128.5</v>
      </c>
      <c r="R90" s="2">
        <v>132.1</v>
      </c>
      <c r="S90" s="2">
        <v>123.2</v>
      </c>
      <c r="T90" s="2">
        <v>117.6</v>
      </c>
      <c r="U90" s="2">
        <v>122.3</v>
      </c>
      <c r="V90" s="2">
        <v>100.4</v>
      </c>
      <c r="W90" s="2">
        <v>115.1</v>
      </c>
      <c r="X90" s="2">
        <v>119.2</v>
      </c>
      <c r="Y90" s="2">
        <v>115.4</v>
      </c>
      <c r="Z90" s="2">
        <v>111.7</v>
      </c>
      <c r="AA90" s="2">
        <v>116.2</v>
      </c>
      <c r="AB90" s="2">
        <v>123.8</v>
      </c>
      <c r="AC90" s="2">
        <v>112.5</v>
      </c>
      <c r="AD90" s="2">
        <v>116</v>
      </c>
      <c r="AE90" s="2">
        <v>121.7</v>
      </c>
      <c r="AG90" s="20">
        <f t="shared" si="4"/>
        <v>125.89230769230768</v>
      </c>
      <c r="AH90" s="2">
        <v>132.1</v>
      </c>
      <c r="AI90" s="20">
        <f t="shared" si="5"/>
        <v>111.56666666666666</v>
      </c>
      <c r="AJ90" s="20">
        <f t="shared" si="6"/>
        <v>121.03333333333335</v>
      </c>
      <c r="AK90" s="20">
        <f t="shared" si="7"/>
        <v>115.93333333333334</v>
      </c>
    </row>
    <row r="91" spans="1:37" ht="26.5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123.9</v>
      </c>
      <c r="F91" s="2">
        <v>131.80000000000001</v>
      </c>
      <c r="G91" s="2">
        <v>121.6</v>
      </c>
      <c r="H91" s="2">
        <v>128.19999999999999</v>
      </c>
      <c r="I91" s="2">
        <v>111.1</v>
      </c>
      <c r="J91" s="2">
        <v>132.80000000000001</v>
      </c>
      <c r="K91" s="2">
        <v>139.1</v>
      </c>
      <c r="L91" s="2">
        <v>137.4</v>
      </c>
      <c r="M91" s="2">
        <v>94.1</v>
      </c>
      <c r="N91" s="2">
        <v>125.5</v>
      </c>
      <c r="O91" s="2">
        <v>119.8</v>
      </c>
      <c r="P91" s="2">
        <v>130.9</v>
      </c>
      <c r="Q91" s="2">
        <v>127.3</v>
      </c>
      <c r="R91" s="2">
        <v>129.19999999999999</v>
      </c>
      <c r="S91" s="2">
        <v>126.4</v>
      </c>
      <c r="T91" s="2">
        <v>122</v>
      </c>
      <c r="U91" s="2">
        <v>125.7</v>
      </c>
      <c r="V91" s="2">
        <v>100.4</v>
      </c>
      <c r="W91" s="2">
        <v>119.8</v>
      </c>
      <c r="X91" s="2">
        <v>121.1</v>
      </c>
      <c r="Y91" s="2">
        <v>118.5</v>
      </c>
      <c r="Z91" s="2">
        <v>112.9</v>
      </c>
      <c r="AA91" s="2">
        <v>116.9</v>
      </c>
      <c r="AB91" s="2">
        <v>123.1</v>
      </c>
      <c r="AC91" s="2">
        <v>112.8</v>
      </c>
      <c r="AD91" s="2">
        <v>117</v>
      </c>
      <c r="AE91" s="2">
        <v>123</v>
      </c>
      <c r="AG91" s="20">
        <f t="shared" si="4"/>
        <v>124.88461538461539</v>
      </c>
      <c r="AH91" s="2">
        <v>129.19999999999999</v>
      </c>
      <c r="AI91" s="20">
        <f t="shared" si="5"/>
        <v>113.76666666666665</v>
      </c>
      <c r="AJ91" s="20">
        <f t="shared" si="6"/>
        <v>124.7</v>
      </c>
      <c r="AK91" s="20">
        <f t="shared" si="7"/>
        <v>116.86666666666666</v>
      </c>
    </row>
    <row r="92" spans="1:37" ht="15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</v>
      </c>
      <c r="F92" s="2">
        <v>131.5</v>
      </c>
      <c r="G92" s="2">
        <v>122</v>
      </c>
      <c r="H92" s="2">
        <v>128.69999999999999</v>
      </c>
      <c r="I92" s="2">
        <v>113.5</v>
      </c>
      <c r="J92" s="2">
        <v>133.30000000000001</v>
      </c>
      <c r="K92" s="2">
        <v>140.80000000000001</v>
      </c>
      <c r="L92" s="2">
        <v>133.80000000000001</v>
      </c>
      <c r="M92" s="2">
        <v>94.1</v>
      </c>
      <c r="N92" s="2">
        <v>123.4</v>
      </c>
      <c r="O92" s="2">
        <v>121</v>
      </c>
      <c r="P92" s="2">
        <v>131.69999999999999</v>
      </c>
      <c r="Q92" s="2">
        <v>127.5</v>
      </c>
      <c r="R92" s="2">
        <v>129.4</v>
      </c>
      <c r="S92" s="2">
        <v>128.80000000000001</v>
      </c>
      <c r="T92" s="2">
        <v>125.5</v>
      </c>
      <c r="U92" s="2">
        <v>128.30000000000001</v>
      </c>
      <c r="V92" s="2">
        <f>VLOOKUP($A92,'Impute housing Missing Value'!$A$1:$C$125,3,0)</f>
        <v>119.9</v>
      </c>
      <c r="W92" s="2">
        <v>123</v>
      </c>
      <c r="X92" s="2">
        <v>123</v>
      </c>
      <c r="Y92" s="2">
        <v>120.8</v>
      </c>
      <c r="Z92" s="2">
        <v>114.1</v>
      </c>
      <c r="AA92" s="2">
        <v>118</v>
      </c>
      <c r="AB92" s="2">
        <v>122.9</v>
      </c>
      <c r="AC92" s="2">
        <v>112.7</v>
      </c>
      <c r="AD92" s="2">
        <v>118.1</v>
      </c>
      <c r="AE92" s="2">
        <v>124.7</v>
      </c>
      <c r="AG92" s="20">
        <f t="shared" si="4"/>
        <v>125.02307692307691</v>
      </c>
      <c r="AH92" s="2">
        <v>129.4</v>
      </c>
      <c r="AI92" s="20">
        <f t="shared" si="5"/>
        <v>121.96666666666665</v>
      </c>
      <c r="AJ92" s="20">
        <f t="shared" si="6"/>
        <v>127.53333333333335</v>
      </c>
      <c r="AK92" s="20">
        <f t="shared" si="7"/>
        <v>117.76666666666667</v>
      </c>
    </row>
    <row r="93" spans="1:37" ht="15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123.2</v>
      </c>
      <c r="F93" s="2">
        <v>134.30000000000001</v>
      </c>
      <c r="G93" s="2">
        <v>119.5</v>
      </c>
      <c r="H93" s="2">
        <v>127.7</v>
      </c>
      <c r="I93" s="2">
        <v>106.3</v>
      </c>
      <c r="J93" s="2">
        <v>132.80000000000001</v>
      </c>
      <c r="K93" s="2">
        <v>153.5</v>
      </c>
      <c r="L93" s="2">
        <v>149.5</v>
      </c>
      <c r="M93" s="2">
        <v>85.7</v>
      </c>
      <c r="N93" s="2">
        <v>131.5</v>
      </c>
      <c r="O93" s="2">
        <v>118.3</v>
      </c>
      <c r="P93" s="2">
        <v>131.1</v>
      </c>
      <c r="Q93" s="2">
        <v>129.5</v>
      </c>
      <c r="R93" s="2">
        <v>133.1</v>
      </c>
      <c r="S93" s="2">
        <v>123.5</v>
      </c>
      <c r="T93" s="2">
        <v>117.9</v>
      </c>
      <c r="U93" s="2">
        <v>122.7</v>
      </c>
      <c r="V93" s="2">
        <v>100.4</v>
      </c>
      <c r="W93" s="2">
        <v>115.3</v>
      </c>
      <c r="X93" s="2">
        <v>119.5</v>
      </c>
      <c r="Y93" s="2">
        <v>116</v>
      </c>
      <c r="Z93" s="2">
        <v>111.5</v>
      </c>
      <c r="AA93" s="2">
        <v>116.6</v>
      </c>
      <c r="AB93" s="2">
        <v>125.4</v>
      </c>
      <c r="AC93" s="2">
        <v>111.7</v>
      </c>
      <c r="AD93" s="2">
        <v>116.3</v>
      </c>
      <c r="AE93" s="2">
        <v>122.4</v>
      </c>
      <c r="AG93" s="20">
        <f t="shared" si="4"/>
        <v>126.37692307692306</v>
      </c>
      <c r="AH93" s="2">
        <v>133.1</v>
      </c>
      <c r="AI93" s="20">
        <f t="shared" si="5"/>
        <v>111.73333333333333</v>
      </c>
      <c r="AJ93" s="20">
        <f t="shared" si="6"/>
        <v>121.36666666666667</v>
      </c>
      <c r="AK93" s="20">
        <f t="shared" si="7"/>
        <v>116.25</v>
      </c>
    </row>
    <row r="94" spans="1:37" ht="26.5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123.7</v>
      </c>
      <c r="F94" s="2">
        <v>132.5</v>
      </c>
      <c r="G94" s="2">
        <v>121</v>
      </c>
      <c r="H94" s="2">
        <v>128.30000000000001</v>
      </c>
      <c r="I94" s="2">
        <v>110.9</v>
      </c>
      <c r="J94" s="2">
        <v>133.1</v>
      </c>
      <c r="K94" s="2">
        <v>145.1</v>
      </c>
      <c r="L94" s="2">
        <v>139.1</v>
      </c>
      <c r="M94" s="2">
        <v>91.3</v>
      </c>
      <c r="N94" s="2">
        <v>126.1</v>
      </c>
      <c r="O94" s="2">
        <v>119.9</v>
      </c>
      <c r="P94" s="2">
        <v>131.4</v>
      </c>
      <c r="Q94" s="2">
        <v>128.19999999999999</v>
      </c>
      <c r="R94" s="2">
        <v>130.4</v>
      </c>
      <c r="S94" s="2">
        <v>126.7</v>
      </c>
      <c r="T94" s="2">
        <v>122.3</v>
      </c>
      <c r="U94" s="2">
        <v>126.1</v>
      </c>
      <c r="V94" s="2">
        <v>100.4</v>
      </c>
      <c r="W94" s="2">
        <v>120.1</v>
      </c>
      <c r="X94" s="2">
        <v>121.3</v>
      </c>
      <c r="Y94" s="2">
        <v>119</v>
      </c>
      <c r="Z94" s="2">
        <v>112.7</v>
      </c>
      <c r="AA94" s="2">
        <v>117.2</v>
      </c>
      <c r="AB94" s="2">
        <v>124.4</v>
      </c>
      <c r="AC94" s="2">
        <v>112.3</v>
      </c>
      <c r="AD94" s="2">
        <v>117.2</v>
      </c>
      <c r="AE94" s="2">
        <v>123.6</v>
      </c>
      <c r="AG94" s="20">
        <f t="shared" si="4"/>
        <v>125.43076923076924</v>
      </c>
      <c r="AH94" s="2">
        <v>130.4</v>
      </c>
      <c r="AI94" s="20">
        <f t="shared" si="5"/>
        <v>113.93333333333334</v>
      </c>
      <c r="AJ94" s="20">
        <f t="shared" si="6"/>
        <v>125.03333333333335</v>
      </c>
      <c r="AK94" s="20">
        <f t="shared" si="7"/>
        <v>117.13333333333333</v>
      </c>
    </row>
    <row r="95" spans="1:37" ht="15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124.7</v>
      </c>
      <c r="F95" s="2">
        <v>131.30000000000001</v>
      </c>
      <c r="G95" s="2">
        <v>121.3</v>
      </c>
      <c r="H95" s="2">
        <v>128.80000000000001</v>
      </c>
      <c r="I95" s="2">
        <v>114</v>
      </c>
      <c r="J95" s="2">
        <v>134.19999999999999</v>
      </c>
      <c r="K95" s="2">
        <v>153.6</v>
      </c>
      <c r="L95" s="2">
        <v>137.9</v>
      </c>
      <c r="M95" s="2">
        <v>93.1</v>
      </c>
      <c r="N95" s="2">
        <v>123.9</v>
      </c>
      <c r="O95" s="2">
        <v>121.5</v>
      </c>
      <c r="P95" s="2">
        <v>132.5</v>
      </c>
      <c r="Q95" s="2">
        <v>129.80000000000001</v>
      </c>
      <c r="R95" s="2">
        <v>130.1</v>
      </c>
      <c r="S95" s="2">
        <v>129.5</v>
      </c>
      <c r="T95" s="2">
        <v>126.3</v>
      </c>
      <c r="U95" s="2">
        <v>129</v>
      </c>
      <c r="V95" s="2">
        <f>VLOOKUP($A95,'Impute housing Missing Value'!$A$1:$C$125,3,0)</f>
        <v>120.9</v>
      </c>
      <c r="W95" s="2">
        <v>123.8</v>
      </c>
      <c r="X95" s="2">
        <v>123.7</v>
      </c>
      <c r="Y95" s="2">
        <v>121.1</v>
      </c>
      <c r="Z95" s="2">
        <v>113.6</v>
      </c>
      <c r="AA95" s="2">
        <v>118.5</v>
      </c>
      <c r="AB95" s="2">
        <v>123.6</v>
      </c>
      <c r="AC95" s="2">
        <v>112.5</v>
      </c>
      <c r="AD95" s="2">
        <v>118.2</v>
      </c>
      <c r="AE95" s="2">
        <v>126.1</v>
      </c>
      <c r="AG95" s="20">
        <f t="shared" si="4"/>
        <v>126.66153846153846</v>
      </c>
      <c r="AH95" s="2">
        <v>130.1</v>
      </c>
      <c r="AI95" s="20">
        <f t="shared" si="5"/>
        <v>122.8</v>
      </c>
      <c r="AJ95" s="20">
        <f t="shared" si="6"/>
        <v>128.26666666666668</v>
      </c>
      <c r="AK95" s="20">
        <f t="shared" si="7"/>
        <v>117.91666666666667</v>
      </c>
    </row>
    <row r="96" spans="1:37" ht="15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123.1</v>
      </c>
      <c r="F96" s="2">
        <v>131.69999999999999</v>
      </c>
      <c r="G96" s="2">
        <v>118.1</v>
      </c>
      <c r="H96" s="2">
        <v>128</v>
      </c>
      <c r="I96" s="2">
        <v>106.8</v>
      </c>
      <c r="J96" s="2">
        <v>130.1</v>
      </c>
      <c r="K96" s="2">
        <v>165.5</v>
      </c>
      <c r="L96" s="2">
        <v>156</v>
      </c>
      <c r="M96" s="2">
        <v>85.3</v>
      </c>
      <c r="N96" s="2">
        <v>132.69999999999999</v>
      </c>
      <c r="O96" s="2">
        <v>118.8</v>
      </c>
      <c r="P96" s="2">
        <v>131.69999999999999</v>
      </c>
      <c r="Q96" s="2">
        <v>131.1</v>
      </c>
      <c r="R96" s="2">
        <v>134.19999999999999</v>
      </c>
      <c r="S96" s="2">
        <v>123.7</v>
      </c>
      <c r="T96" s="2">
        <v>118.2</v>
      </c>
      <c r="U96" s="2">
        <v>122.9</v>
      </c>
      <c r="V96" s="2">
        <v>100.4</v>
      </c>
      <c r="W96" s="2">
        <v>115.3</v>
      </c>
      <c r="X96" s="2">
        <v>120</v>
      </c>
      <c r="Y96" s="2">
        <v>116.6</v>
      </c>
      <c r="Z96" s="2">
        <v>109.9</v>
      </c>
      <c r="AA96" s="2">
        <v>117.2</v>
      </c>
      <c r="AB96" s="2">
        <v>126.2</v>
      </c>
      <c r="AC96" s="2">
        <v>112</v>
      </c>
      <c r="AD96" s="2">
        <v>116.2</v>
      </c>
      <c r="AE96" s="2">
        <v>123.2</v>
      </c>
      <c r="AG96" s="20">
        <f t="shared" si="4"/>
        <v>127.6076923076923</v>
      </c>
      <c r="AH96" s="2">
        <v>134.19999999999999</v>
      </c>
      <c r="AI96" s="20">
        <f t="shared" si="5"/>
        <v>111.89999999999999</v>
      </c>
      <c r="AJ96" s="20">
        <f t="shared" si="6"/>
        <v>121.60000000000001</v>
      </c>
      <c r="AK96" s="20">
        <f t="shared" si="7"/>
        <v>116.35000000000001</v>
      </c>
    </row>
    <row r="97" spans="1:37" ht="26.5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124.2</v>
      </c>
      <c r="F97" s="2">
        <v>131.4</v>
      </c>
      <c r="G97" s="2">
        <v>120.1</v>
      </c>
      <c r="H97" s="2">
        <v>128.5</v>
      </c>
      <c r="I97" s="2">
        <v>111.4</v>
      </c>
      <c r="J97" s="2">
        <v>132.30000000000001</v>
      </c>
      <c r="K97" s="2">
        <v>157.6</v>
      </c>
      <c r="L97" s="2">
        <v>144</v>
      </c>
      <c r="M97" s="2">
        <v>90.5</v>
      </c>
      <c r="N97" s="2">
        <v>126.8</v>
      </c>
      <c r="O97" s="2">
        <v>120.4</v>
      </c>
      <c r="P97" s="2">
        <v>132.1</v>
      </c>
      <c r="Q97" s="2">
        <v>130.30000000000001</v>
      </c>
      <c r="R97" s="2">
        <v>131.19999999999999</v>
      </c>
      <c r="S97" s="2">
        <v>127.2</v>
      </c>
      <c r="T97" s="2">
        <v>122.9</v>
      </c>
      <c r="U97" s="2">
        <v>126.6</v>
      </c>
      <c r="V97" s="2">
        <v>100.4</v>
      </c>
      <c r="W97" s="2">
        <v>120.6</v>
      </c>
      <c r="X97" s="2">
        <v>122</v>
      </c>
      <c r="Y97" s="2">
        <v>119.4</v>
      </c>
      <c r="Z97" s="2">
        <v>111.7</v>
      </c>
      <c r="AA97" s="2">
        <v>117.8</v>
      </c>
      <c r="AB97" s="2">
        <v>125.1</v>
      </c>
      <c r="AC97" s="2">
        <v>112.3</v>
      </c>
      <c r="AD97" s="2">
        <v>117.2</v>
      </c>
      <c r="AE97" s="2">
        <v>124.8</v>
      </c>
      <c r="AG97" s="20">
        <f t="shared" si="4"/>
        <v>126.89230769230768</v>
      </c>
      <c r="AH97" s="2">
        <v>131.19999999999999</v>
      </c>
      <c r="AI97" s="20">
        <f t="shared" si="5"/>
        <v>114.33333333333333</v>
      </c>
      <c r="AJ97" s="20">
        <f t="shared" si="6"/>
        <v>125.56666666666668</v>
      </c>
      <c r="AK97" s="20">
        <f t="shared" si="7"/>
        <v>117.25</v>
      </c>
    </row>
    <row r="98" spans="1:37" ht="26.5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125.1</v>
      </c>
      <c r="F98" s="2">
        <v>131.1</v>
      </c>
      <c r="G98" s="2">
        <v>120.7</v>
      </c>
      <c r="H98" s="2">
        <v>129.19999999999999</v>
      </c>
      <c r="I98" s="2">
        <v>114.7</v>
      </c>
      <c r="J98" s="2">
        <v>132.30000000000001</v>
      </c>
      <c r="K98" s="2">
        <v>158.9</v>
      </c>
      <c r="L98" s="2">
        <v>142.1</v>
      </c>
      <c r="M98" s="2">
        <v>92.5</v>
      </c>
      <c r="N98" s="2">
        <v>125.4</v>
      </c>
      <c r="O98" s="2">
        <v>121.9</v>
      </c>
      <c r="P98" s="2">
        <v>132.69999999999999</v>
      </c>
      <c r="Q98" s="2">
        <v>131</v>
      </c>
      <c r="R98" s="2">
        <v>131</v>
      </c>
      <c r="S98" s="2">
        <v>130.4</v>
      </c>
      <c r="T98" s="2">
        <v>126.8</v>
      </c>
      <c r="U98" s="2">
        <v>129.9</v>
      </c>
      <c r="V98" s="2">
        <f>VLOOKUP($A98,'Impute housing Missing Value'!$A$1:$C$125,3,0)</f>
        <v>121.6</v>
      </c>
      <c r="W98" s="2">
        <v>123.7</v>
      </c>
      <c r="X98" s="2">
        <v>124.5</v>
      </c>
      <c r="Y98" s="2">
        <v>121.4</v>
      </c>
      <c r="Z98" s="2">
        <v>113.8</v>
      </c>
      <c r="AA98" s="2">
        <v>119.6</v>
      </c>
      <c r="AB98" s="2">
        <v>124.5</v>
      </c>
      <c r="AC98" s="2">
        <v>113.7</v>
      </c>
      <c r="AD98" s="2">
        <v>118.8</v>
      </c>
      <c r="AE98" s="2">
        <v>127</v>
      </c>
      <c r="AG98" s="20">
        <f t="shared" si="4"/>
        <v>127.50769230769232</v>
      </c>
      <c r="AH98" s="2">
        <v>131</v>
      </c>
      <c r="AI98" s="20">
        <f t="shared" si="5"/>
        <v>123.26666666666667</v>
      </c>
      <c r="AJ98" s="20">
        <f t="shared" si="6"/>
        <v>129.03333333333333</v>
      </c>
      <c r="AK98" s="20">
        <f t="shared" si="7"/>
        <v>118.63333333333333</v>
      </c>
    </row>
    <row r="99" spans="1:37" ht="26.5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123.4</v>
      </c>
      <c r="F99" s="2">
        <v>129</v>
      </c>
      <c r="G99" s="2">
        <v>115.6</v>
      </c>
      <c r="H99" s="2">
        <v>128.30000000000001</v>
      </c>
      <c r="I99" s="2">
        <v>107</v>
      </c>
      <c r="J99" s="2">
        <v>124</v>
      </c>
      <c r="K99" s="2">
        <v>168.5</v>
      </c>
      <c r="L99" s="2">
        <v>165.4</v>
      </c>
      <c r="M99" s="2">
        <v>86.3</v>
      </c>
      <c r="N99" s="2">
        <v>134.4</v>
      </c>
      <c r="O99" s="2">
        <v>119.1</v>
      </c>
      <c r="P99" s="2">
        <v>132.30000000000001</v>
      </c>
      <c r="Q99" s="2">
        <v>131.5</v>
      </c>
      <c r="R99" s="2">
        <v>134.69999999999999</v>
      </c>
      <c r="S99" s="2">
        <v>124</v>
      </c>
      <c r="T99" s="2">
        <v>118.6</v>
      </c>
      <c r="U99" s="2">
        <v>123.2</v>
      </c>
      <c r="V99" s="2">
        <v>100.4</v>
      </c>
      <c r="W99" s="2">
        <v>115.1</v>
      </c>
      <c r="X99" s="2">
        <v>120.4</v>
      </c>
      <c r="Y99" s="2">
        <v>117.1</v>
      </c>
      <c r="Z99" s="2">
        <v>109.1</v>
      </c>
      <c r="AA99" s="2">
        <v>117.3</v>
      </c>
      <c r="AB99" s="2">
        <v>126.5</v>
      </c>
      <c r="AC99" s="2">
        <v>112.9</v>
      </c>
      <c r="AD99" s="2">
        <v>116.2</v>
      </c>
      <c r="AE99" s="2">
        <v>123.5</v>
      </c>
      <c r="AG99" s="20">
        <f t="shared" si="4"/>
        <v>128.06153846153845</v>
      </c>
      <c r="AH99" s="2">
        <v>134.69999999999999</v>
      </c>
      <c r="AI99" s="20">
        <f t="shared" si="5"/>
        <v>111.96666666666665</v>
      </c>
      <c r="AJ99" s="20">
        <f t="shared" si="6"/>
        <v>121.93333333333334</v>
      </c>
      <c r="AK99" s="20">
        <f t="shared" si="7"/>
        <v>116.51666666666667</v>
      </c>
    </row>
    <row r="100" spans="1:37" ht="26.5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124.6</v>
      </c>
      <c r="F100" s="2">
        <v>130.4</v>
      </c>
      <c r="G100" s="2">
        <v>118.7</v>
      </c>
      <c r="H100" s="2">
        <v>128.9</v>
      </c>
      <c r="I100" s="2">
        <v>111.9</v>
      </c>
      <c r="J100" s="2">
        <v>128.4</v>
      </c>
      <c r="K100" s="2">
        <v>162.19999999999999</v>
      </c>
      <c r="L100" s="2">
        <v>150</v>
      </c>
      <c r="M100" s="2">
        <v>90.4</v>
      </c>
      <c r="N100" s="2">
        <v>128.4</v>
      </c>
      <c r="O100" s="2">
        <v>120.7</v>
      </c>
      <c r="P100" s="2">
        <v>132.5</v>
      </c>
      <c r="Q100" s="2">
        <v>131.19999999999999</v>
      </c>
      <c r="R100" s="2">
        <v>132</v>
      </c>
      <c r="S100" s="2">
        <v>127.9</v>
      </c>
      <c r="T100" s="2">
        <v>123.4</v>
      </c>
      <c r="U100" s="2">
        <v>127.2</v>
      </c>
      <c r="V100" s="2">
        <v>100.4</v>
      </c>
      <c r="W100" s="2">
        <v>120.4</v>
      </c>
      <c r="X100" s="2">
        <v>122.6</v>
      </c>
      <c r="Y100" s="2">
        <v>119.8</v>
      </c>
      <c r="Z100" s="2">
        <v>111.3</v>
      </c>
      <c r="AA100" s="2">
        <v>118.3</v>
      </c>
      <c r="AB100" s="2">
        <v>125.7</v>
      </c>
      <c r="AC100" s="2">
        <v>113.4</v>
      </c>
      <c r="AD100" s="2">
        <v>117.5</v>
      </c>
      <c r="AE100" s="2">
        <v>125.4</v>
      </c>
      <c r="AG100" s="20">
        <f t="shared" si="4"/>
        <v>127.56153846153848</v>
      </c>
      <c r="AH100" s="2">
        <v>132</v>
      </c>
      <c r="AI100" s="20">
        <f t="shared" si="5"/>
        <v>114.46666666666665</v>
      </c>
      <c r="AJ100" s="20">
        <f t="shared" si="6"/>
        <v>126.16666666666667</v>
      </c>
      <c r="AK100" s="20">
        <f t="shared" si="7"/>
        <v>117.66666666666667</v>
      </c>
    </row>
    <row r="101" spans="1:37" ht="15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125.6</v>
      </c>
      <c r="F101" s="2">
        <v>130.4</v>
      </c>
      <c r="G101" s="2">
        <v>120.8</v>
      </c>
      <c r="H101" s="2">
        <v>129.4</v>
      </c>
      <c r="I101" s="2">
        <v>115.8</v>
      </c>
      <c r="J101" s="2">
        <v>133.19999999999999</v>
      </c>
      <c r="K101" s="2">
        <v>157.69999999999999</v>
      </c>
      <c r="L101" s="2">
        <v>154.19999999999999</v>
      </c>
      <c r="M101" s="2">
        <v>93.7</v>
      </c>
      <c r="N101" s="2">
        <v>126.6</v>
      </c>
      <c r="O101" s="2">
        <v>122.3</v>
      </c>
      <c r="P101" s="2">
        <v>133.1</v>
      </c>
      <c r="Q101" s="2">
        <v>131.80000000000001</v>
      </c>
      <c r="R101" s="2">
        <v>131.5</v>
      </c>
      <c r="S101" s="2">
        <v>131.1</v>
      </c>
      <c r="T101" s="2">
        <v>127.3</v>
      </c>
      <c r="U101" s="2">
        <v>130.6</v>
      </c>
      <c r="V101" s="2">
        <f>VLOOKUP($A101,'Impute housing Missing Value'!$A$1:$C$125,3,0)</f>
        <v>122.4</v>
      </c>
      <c r="W101" s="2">
        <v>124.4</v>
      </c>
      <c r="X101" s="2">
        <v>125.1</v>
      </c>
      <c r="Y101" s="2">
        <v>122</v>
      </c>
      <c r="Z101" s="2">
        <v>113.8</v>
      </c>
      <c r="AA101" s="2">
        <v>120.1</v>
      </c>
      <c r="AB101" s="2">
        <v>125.1</v>
      </c>
      <c r="AC101" s="2">
        <v>114.2</v>
      </c>
      <c r="AD101" s="2">
        <v>119.2</v>
      </c>
      <c r="AE101" s="2">
        <v>127.7</v>
      </c>
      <c r="AG101" s="20">
        <f t="shared" si="4"/>
        <v>128.8153846153846</v>
      </c>
      <c r="AH101" s="2">
        <v>131.5</v>
      </c>
      <c r="AI101" s="20">
        <f t="shared" si="5"/>
        <v>123.96666666666665</v>
      </c>
      <c r="AJ101" s="20">
        <f t="shared" si="6"/>
        <v>129.66666666666666</v>
      </c>
      <c r="AK101" s="20">
        <f t="shared" si="7"/>
        <v>119.06666666666668</v>
      </c>
    </row>
    <row r="102" spans="1:37" ht="15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123.6</v>
      </c>
      <c r="F102" s="2">
        <v>128.6</v>
      </c>
      <c r="G102" s="2">
        <v>115.9</v>
      </c>
      <c r="H102" s="2">
        <v>128.5</v>
      </c>
      <c r="I102" s="2">
        <v>109</v>
      </c>
      <c r="J102" s="2">
        <v>124.1</v>
      </c>
      <c r="K102" s="2">
        <v>165.8</v>
      </c>
      <c r="L102" s="2">
        <v>187.2</v>
      </c>
      <c r="M102" s="2">
        <v>89.4</v>
      </c>
      <c r="N102" s="2">
        <v>135.80000000000001</v>
      </c>
      <c r="O102" s="2">
        <v>119.4</v>
      </c>
      <c r="P102" s="2">
        <v>132.9</v>
      </c>
      <c r="Q102" s="2">
        <v>132.6</v>
      </c>
      <c r="R102" s="2">
        <v>135.30000000000001</v>
      </c>
      <c r="S102" s="2">
        <v>124.4</v>
      </c>
      <c r="T102" s="2">
        <v>118.8</v>
      </c>
      <c r="U102" s="2">
        <v>123.6</v>
      </c>
      <c r="V102" s="2">
        <v>100.4</v>
      </c>
      <c r="W102" s="2">
        <v>114.9</v>
      </c>
      <c r="X102" s="2">
        <v>120.7</v>
      </c>
      <c r="Y102" s="2">
        <v>117.7</v>
      </c>
      <c r="Z102" s="2">
        <v>109.3</v>
      </c>
      <c r="AA102" s="2">
        <v>117.7</v>
      </c>
      <c r="AB102" s="2">
        <v>126.5</v>
      </c>
      <c r="AC102" s="2">
        <v>113.5</v>
      </c>
      <c r="AD102" s="2">
        <v>116.5</v>
      </c>
      <c r="AE102" s="2">
        <v>124.2</v>
      </c>
      <c r="AG102" s="20">
        <f t="shared" si="4"/>
        <v>130.21538461538464</v>
      </c>
      <c r="AH102" s="2">
        <v>135.30000000000001</v>
      </c>
      <c r="AI102" s="20">
        <f t="shared" si="5"/>
        <v>112</v>
      </c>
      <c r="AJ102" s="20">
        <f t="shared" si="6"/>
        <v>122.26666666666665</v>
      </c>
      <c r="AK102" s="20">
        <f t="shared" si="7"/>
        <v>116.86666666666667</v>
      </c>
    </row>
    <row r="103" spans="1:37" ht="26.5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125</v>
      </c>
      <c r="F103" s="2">
        <v>129.80000000000001</v>
      </c>
      <c r="G103" s="2">
        <v>118.9</v>
      </c>
      <c r="H103" s="2">
        <v>129.1</v>
      </c>
      <c r="I103" s="2">
        <v>113.3</v>
      </c>
      <c r="J103" s="2">
        <v>129</v>
      </c>
      <c r="K103" s="2">
        <v>160.4</v>
      </c>
      <c r="L103" s="2">
        <v>165.3</v>
      </c>
      <c r="M103" s="2">
        <v>92.3</v>
      </c>
      <c r="N103" s="2">
        <v>129.69999999999999</v>
      </c>
      <c r="O103" s="2">
        <v>121.1</v>
      </c>
      <c r="P103" s="2">
        <v>133</v>
      </c>
      <c r="Q103" s="2">
        <v>132.1</v>
      </c>
      <c r="R103" s="2">
        <v>132.5</v>
      </c>
      <c r="S103" s="2">
        <v>128.5</v>
      </c>
      <c r="T103" s="2">
        <v>123.8</v>
      </c>
      <c r="U103" s="2">
        <v>127.8</v>
      </c>
      <c r="V103" s="2">
        <v>100.4</v>
      </c>
      <c r="W103" s="2">
        <v>120.8</v>
      </c>
      <c r="X103" s="2">
        <v>123</v>
      </c>
      <c r="Y103" s="2">
        <v>120.4</v>
      </c>
      <c r="Z103" s="2">
        <v>111.4</v>
      </c>
      <c r="AA103" s="2">
        <v>118.7</v>
      </c>
      <c r="AB103" s="2">
        <v>125.9</v>
      </c>
      <c r="AC103" s="2">
        <v>113.9</v>
      </c>
      <c r="AD103" s="2">
        <v>117.9</v>
      </c>
      <c r="AE103" s="2">
        <v>126.1</v>
      </c>
      <c r="AG103" s="20">
        <f t="shared" si="4"/>
        <v>129.15384615384613</v>
      </c>
      <c r="AH103" s="2">
        <v>132.5</v>
      </c>
      <c r="AI103" s="20">
        <f t="shared" si="5"/>
        <v>114.73333333333333</v>
      </c>
      <c r="AJ103" s="20">
        <f t="shared" si="6"/>
        <v>126.7</v>
      </c>
      <c r="AK103" s="20">
        <f t="shared" si="7"/>
        <v>118.03333333333332</v>
      </c>
    </row>
    <row r="104" spans="1:37" ht="26.5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126.1</v>
      </c>
      <c r="F104" s="2">
        <v>130.6</v>
      </c>
      <c r="G104" s="2">
        <v>121.7</v>
      </c>
      <c r="H104" s="2">
        <v>129.5</v>
      </c>
      <c r="I104" s="2">
        <v>117.8</v>
      </c>
      <c r="J104" s="2">
        <v>132.1</v>
      </c>
      <c r="K104" s="2">
        <v>155.19999999999999</v>
      </c>
      <c r="L104" s="2">
        <v>160.80000000000001</v>
      </c>
      <c r="M104" s="2">
        <v>94.5</v>
      </c>
      <c r="N104" s="2">
        <v>128.30000000000001</v>
      </c>
      <c r="O104" s="2">
        <v>123.1</v>
      </c>
      <c r="P104" s="2">
        <v>134.19999999999999</v>
      </c>
      <c r="Q104" s="2">
        <v>132.4</v>
      </c>
      <c r="R104" s="2">
        <v>132.19999999999999</v>
      </c>
      <c r="S104" s="2">
        <v>132.1</v>
      </c>
      <c r="T104" s="2">
        <v>128.19999999999999</v>
      </c>
      <c r="U104" s="2">
        <v>131.5</v>
      </c>
      <c r="V104" s="2">
        <f>VLOOKUP($A104,'Impute housing Missing Value'!$A$1:$C$125,3,0)</f>
        <v>122.9</v>
      </c>
      <c r="W104" s="2">
        <v>125.6</v>
      </c>
      <c r="X104" s="2">
        <v>125.6</v>
      </c>
      <c r="Y104" s="2">
        <v>122.6</v>
      </c>
      <c r="Z104" s="2">
        <v>114</v>
      </c>
      <c r="AA104" s="2">
        <v>120.9</v>
      </c>
      <c r="AB104" s="2">
        <v>125.8</v>
      </c>
      <c r="AC104" s="2">
        <v>114.2</v>
      </c>
      <c r="AD104" s="2">
        <v>119.6</v>
      </c>
      <c r="AE104" s="2">
        <v>128.30000000000001</v>
      </c>
      <c r="AG104" s="20">
        <f t="shared" si="4"/>
        <v>129.71538461538461</v>
      </c>
      <c r="AH104" s="2">
        <v>132.19999999999999</v>
      </c>
      <c r="AI104" s="20">
        <f t="shared" si="5"/>
        <v>124.7</v>
      </c>
      <c r="AJ104" s="20">
        <f t="shared" si="6"/>
        <v>130.6</v>
      </c>
      <c r="AK104" s="20">
        <f t="shared" si="7"/>
        <v>119.51666666666667</v>
      </c>
    </row>
    <row r="105" spans="1:37" ht="26.5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</v>
      </c>
      <c r="F105" s="2">
        <v>129.80000000000001</v>
      </c>
      <c r="G105" s="2">
        <v>121.5</v>
      </c>
      <c r="H105" s="2">
        <v>128.6</v>
      </c>
      <c r="I105" s="2">
        <v>110</v>
      </c>
      <c r="J105" s="2">
        <v>123.7</v>
      </c>
      <c r="K105" s="2">
        <v>164.6</v>
      </c>
      <c r="L105" s="2">
        <v>191.6</v>
      </c>
      <c r="M105" s="2">
        <v>90.8</v>
      </c>
      <c r="N105" s="2">
        <v>137.1</v>
      </c>
      <c r="O105" s="2">
        <v>119.8</v>
      </c>
      <c r="P105" s="2">
        <v>133.69999999999999</v>
      </c>
      <c r="Q105" s="2">
        <v>133.30000000000001</v>
      </c>
      <c r="R105" s="2">
        <v>137.6</v>
      </c>
      <c r="S105" s="2">
        <v>125</v>
      </c>
      <c r="T105" s="2">
        <v>119.3</v>
      </c>
      <c r="U105" s="2">
        <v>124.2</v>
      </c>
      <c r="V105" s="2">
        <v>100.4</v>
      </c>
      <c r="W105" s="2">
        <v>115.1</v>
      </c>
      <c r="X105" s="2">
        <v>121</v>
      </c>
      <c r="Y105" s="2">
        <v>118.1</v>
      </c>
      <c r="Z105" s="2">
        <v>109.3</v>
      </c>
      <c r="AA105" s="2">
        <v>117.9</v>
      </c>
      <c r="AB105" s="2">
        <v>126.6</v>
      </c>
      <c r="AC105" s="2">
        <v>113.3</v>
      </c>
      <c r="AD105" s="2">
        <v>116.6</v>
      </c>
      <c r="AE105" s="2">
        <v>124.6</v>
      </c>
      <c r="AG105" s="20">
        <f t="shared" si="4"/>
        <v>131.42307692307691</v>
      </c>
      <c r="AH105" s="2">
        <v>137.6</v>
      </c>
      <c r="AI105" s="20">
        <f t="shared" si="5"/>
        <v>112.16666666666667</v>
      </c>
      <c r="AJ105" s="20">
        <f t="shared" si="6"/>
        <v>122.83333333333333</v>
      </c>
      <c r="AK105" s="20">
        <f t="shared" si="7"/>
        <v>116.96666666666665</v>
      </c>
    </row>
    <row r="106" spans="1:37" ht="26.5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125.4</v>
      </c>
      <c r="F106" s="2">
        <v>130.30000000000001</v>
      </c>
      <c r="G106" s="2">
        <v>121.6</v>
      </c>
      <c r="H106" s="2">
        <v>129.19999999999999</v>
      </c>
      <c r="I106" s="2">
        <v>114.9</v>
      </c>
      <c r="J106" s="2">
        <v>128.19999999999999</v>
      </c>
      <c r="K106" s="2">
        <v>158.4</v>
      </c>
      <c r="L106" s="2">
        <v>171.2</v>
      </c>
      <c r="M106" s="2">
        <v>93.3</v>
      </c>
      <c r="N106" s="2">
        <v>131.19999999999999</v>
      </c>
      <c r="O106" s="2">
        <v>121.7</v>
      </c>
      <c r="P106" s="2">
        <v>134</v>
      </c>
      <c r="Q106" s="2">
        <v>132.69999999999999</v>
      </c>
      <c r="R106" s="2">
        <v>133.6</v>
      </c>
      <c r="S106" s="2">
        <v>129.30000000000001</v>
      </c>
      <c r="T106" s="2">
        <v>124.5</v>
      </c>
      <c r="U106" s="2">
        <v>128.6</v>
      </c>
      <c r="V106" s="2">
        <v>100.4</v>
      </c>
      <c r="W106" s="2">
        <v>121.6</v>
      </c>
      <c r="X106" s="2">
        <v>123.4</v>
      </c>
      <c r="Y106" s="2">
        <v>120.9</v>
      </c>
      <c r="Z106" s="2">
        <v>111.5</v>
      </c>
      <c r="AA106" s="2">
        <v>119.2</v>
      </c>
      <c r="AB106" s="2">
        <v>126.3</v>
      </c>
      <c r="AC106" s="2">
        <v>113.8</v>
      </c>
      <c r="AD106" s="2">
        <v>118.1</v>
      </c>
      <c r="AE106" s="2">
        <v>126.6</v>
      </c>
      <c r="AG106" s="20">
        <f t="shared" si="4"/>
        <v>130.16153846153844</v>
      </c>
      <c r="AH106" s="2">
        <v>133.6</v>
      </c>
      <c r="AI106" s="20">
        <f t="shared" si="5"/>
        <v>115.13333333333333</v>
      </c>
      <c r="AJ106" s="20">
        <f t="shared" si="6"/>
        <v>127.46666666666665</v>
      </c>
      <c r="AK106" s="20">
        <f t="shared" si="7"/>
        <v>118.30000000000001</v>
      </c>
    </row>
    <row r="107" spans="1:37" ht="26.5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126.3</v>
      </c>
      <c r="F107" s="2">
        <v>131.30000000000001</v>
      </c>
      <c r="G107" s="2">
        <v>123.3</v>
      </c>
      <c r="H107" s="2">
        <v>129.80000000000001</v>
      </c>
      <c r="I107" s="2">
        <v>118.3</v>
      </c>
      <c r="J107" s="2">
        <v>131.6</v>
      </c>
      <c r="K107" s="2">
        <v>145.5</v>
      </c>
      <c r="L107" s="2">
        <v>162.1</v>
      </c>
      <c r="M107" s="2">
        <v>95.4</v>
      </c>
      <c r="N107" s="2">
        <v>128.9</v>
      </c>
      <c r="O107" s="2">
        <v>123.3</v>
      </c>
      <c r="P107" s="2">
        <v>135.1</v>
      </c>
      <c r="Q107" s="2">
        <v>131.4</v>
      </c>
      <c r="R107" s="2">
        <v>133.1</v>
      </c>
      <c r="S107" s="2">
        <v>132.5</v>
      </c>
      <c r="T107" s="2">
        <v>128.5</v>
      </c>
      <c r="U107" s="2">
        <v>131.9</v>
      </c>
      <c r="V107" s="2">
        <f>VLOOKUP($A107,'Impute housing Missing Value'!$A$1:$C$125,3,0)</f>
        <v>122.4</v>
      </c>
      <c r="W107" s="2">
        <v>125.7</v>
      </c>
      <c r="X107" s="2">
        <v>126</v>
      </c>
      <c r="Y107" s="2">
        <v>123.1</v>
      </c>
      <c r="Z107" s="2">
        <v>114</v>
      </c>
      <c r="AA107" s="2">
        <v>121.6</v>
      </c>
      <c r="AB107" s="2">
        <v>125.6</v>
      </c>
      <c r="AC107" s="2">
        <v>114.1</v>
      </c>
      <c r="AD107" s="2">
        <v>119.8</v>
      </c>
      <c r="AE107" s="2">
        <v>127.9</v>
      </c>
      <c r="AG107" s="20">
        <f t="shared" si="4"/>
        <v>129.40769230769232</v>
      </c>
      <c r="AH107" s="2">
        <v>133.1</v>
      </c>
      <c r="AI107" s="20">
        <f t="shared" si="5"/>
        <v>124.7</v>
      </c>
      <c r="AJ107" s="20">
        <f t="shared" si="6"/>
        <v>130.96666666666667</v>
      </c>
      <c r="AK107" s="20">
        <f t="shared" si="7"/>
        <v>119.69999999999999</v>
      </c>
    </row>
    <row r="108" spans="1:37" ht="26.5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124.3</v>
      </c>
      <c r="F108" s="2">
        <v>131.69999999999999</v>
      </c>
      <c r="G108" s="2">
        <v>127.1</v>
      </c>
      <c r="H108" s="2">
        <v>128.6</v>
      </c>
      <c r="I108" s="2">
        <v>110</v>
      </c>
      <c r="J108" s="2">
        <v>120.8</v>
      </c>
      <c r="K108" s="2">
        <v>149</v>
      </c>
      <c r="L108" s="2">
        <v>190.1</v>
      </c>
      <c r="M108" s="2">
        <v>92.7</v>
      </c>
      <c r="N108" s="2">
        <v>138.6</v>
      </c>
      <c r="O108" s="2">
        <v>120.2</v>
      </c>
      <c r="P108" s="2">
        <v>134.19999999999999</v>
      </c>
      <c r="Q108" s="2">
        <v>131.5</v>
      </c>
      <c r="R108" s="2">
        <v>138.19999999999999</v>
      </c>
      <c r="S108" s="2">
        <v>125.4</v>
      </c>
      <c r="T108" s="2">
        <v>119.5</v>
      </c>
      <c r="U108" s="2">
        <v>124.5</v>
      </c>
      <c r="V108" s="2">
        <v>100.4</v>
      </c>
      <c r="W108" s="2">
        <v>116</v>
      </c>
      <c r="X108" s="2">
        <v>121</v>
      </c>
      <c r="Y108" s="2">
        <v>118.6</v>
      </c>
      <c r="Z108" s="2">
        <v>109.3</v>
      </c>
      <c r="AA108" s="2">
        <v>118.1</v>
      </c>
      <c r="AB108" s="2">
        <v>126.6</v>
      </c>
      <c r="AC108" s="2">
        <v>113.2</v>
      </c>
      <c r="AD108" s="2">
        <v>116.7</v>
      </c>
      <c r="AE108" s="2">
        <v>124</v>
      </c>
      <c r="AG108" s="20">
        <f t="shared" si="4"/>
        <v>130.67692307692306</v>
      </c>
      <c r="AH108" s="2">
        <v>138.19999999999999</v>
      </c>
      <c r="AI108" s="20">
        <f t="shared" si="5"/>
        <v>112.46666666666665</v>
      </c>
      <c r="AJ108" s="20">
        <f t="shared" si="6"/>
        <v>123.13333333333333</v>
      </c>
      <c r="AK108" s="20">
        <f t="shared" si="7"/>
        <v>117.08333333333336</v>
      </c>
    </row>
    <row r="109" spans="1:37" ht="26.5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125.7</v>
      </c>
      <c r="F109" s="2">
        <v>131.4</v>
      </c>
      <c r="G109" s="2">
        <v>124.8</v>
      </c>
      <c r="H109" s="2">
        <v>129.4</v>
      </c>
      <c r="I109" s="2">
        <v>115.3</v>
      </c>
      <c r="J109" s="2">
        <v>126.6</v>
      </c>
      <c r="K109" s="2">
        <v>146.69999999999999</v>
      </c>
      <c r="L109" s="2">
        <v>171.5</v>
      </c>
      <c r="M109" s="2">
        <v>94.5</v>
      </c>
      <c r="N109" s="2">
        <v>132.1</v>
      </c>
      <c r="O109" s="2">
        <v>122</v>
      </c>
      <c r="P109" s="2">
        <v>134.69999999999999</v>
      </c>
      <c r="Q109" s="2">
        <v>131.4</v>
      </c>
      <c r="R109" s="2">
        <v>134.5</v>
      </c>
      <c r="S109" s="2">
        <v>129.69999999999999</v>
      </c>
      <c r="T109" s="2">
        <v>124.8</v>
      </c>
      <c r="U109" s="2">
        <v>129</v>
      </c>
      <c r="V109" s="2">
        <v>100.4</v>
      </c>
      <c r="W109" s="2">
        <v>122</v>
      </c>
      <c r="X109" s="2">
        <v>123.6</v>
      </c>
      <c r="Y109" s="2">
        <v>121.4</v>
      </c>
      <c r="Z109" s="2">
        <v>111.5</v>
      </c>
      <c r="AA109" s="2">
        <v>119.6</v>
      </c>
      <c r="AB109" s="2">
        <v>126.2</v>
      </c>
      <c r="AC109" s="2">
        <v>113.7</v>
      </c>
      <c r="AD109" s="2">
        <v>118.3</v>
      </c>
      <c r="AE109" s="2">
        <v>126.1</v>
      </c>
      <c r="AG109" s="20">
        <f t="shared" si="4"/>
        <v>129.70000000000002</v>
      </c>
      <c r="AH109" s="2">
        <v>134.5</v>
      </c>
      <c r="AI109" s="20">
        <f t="shared" si="5"/>
        <v>115.33333333333333</v>
      </c>
      <c r="AJ109" s="20">
        <f t="shared" si="6"/>
        <v>127.83333333333333</v>
      </c>
      <c r="AK109" s="20">
        <f t="shared" si="7"/>
        <v>118.44999999999999</v>
      </c>
    </row>
    <row r="110" spans="1:37" ht="15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126.8</v>
      </c>
      <c r="F110" s="2">
        <v>133.19999999999999</v>
      </c>
      <c r="G110" s="2">
        <v>126.5</v>
      </c>
      <c r="H110" s="2">
        <v>130.30000000000001</v>
      </c>
      <c r="I110" s="2">
        <v>118.9</v>
      </c>
      <c r="J110" s="2">
        <v>131.6</v>
      </c>
      <c r="K110" s="2">
        <v>140.1</v>
      </c>
      <c r="L110" s="2">
        <v>163.80000000000001</v>
      </c>
      <c r="M110" s="2">
        <v>97.7</v>
      </c>
      <c r="N110" s="2">
        <v>129.6</v>
      </c>
      <c r="O110" s="2">
        <v>124.3</v>
      </c>
      <c r="P110" s="2">
        <v>135.9</v>
      </c>
      <c r="Q110" s="2">
        <v>131.4</v>
      </c>
      <c r="R110" s="2">
        <v>133.6</v>
      </c>
      <c r="S110" s="2">
        <v>133.19999999999999</v>
      </c>
      <c r="T110" s="2">
        <v>128.9</v>
      </c>
      <c r="U110" s="2">
        <v>132.6</v>
      </c>
      <c r="V110" s="2">
        <f>VLOOKUP($A110,'Impute housing Missing Value'!$A$1:$C$125,3,0)</f>
        <v>123.4</v>
      </c>
      <c r="W110" s="2">
        <v>126.2</v>
      </c>
      <c r="X110" s="2">
        <v>126.6</v>
      </c>
      <c r="Y110" s="2">
        <v>123.7</v>
      </c>
      <c r="Z110" s="2">
        <v>113.6</v>
      </c>
      <c r="AA110" s="2">
        <v>121.4</v>
      </c>
      <c r="AB110" s="2">
        <v>126.2</v>
      </c>
      <c r="AC110" s="2">
        <v>114.9</v>
      </c>
      <c r="AD110" s="2">
        <v>120.1</v>
      </c>
      <c r="AE110" s="2">
        <v>128.1</v>
      </c>
      <c r="AG110" s="20">
        <f t="shared" si="4"/>
        <v>130.00769230769231</v>
      </c>
      <c r="AH110" s="2">
        <v>133.6</v>
      </c>
      <c r="AI110" s="20">
        <f t="shared" si="5"/>
        <v>125.40000000000002</v>
      </c>
      <c r="AJ110" s="20">
        <f t="shared" si="6"/>
        <v>131.56666666666669</v>
      </c>
      <c r="AK110" s="20">
        <f t="shared" si="7"/>
        <v>119.98333333333335</v>
      </c>
    </row>
    <row r="111" spans="1:37" ht="15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124.7</v>
      </c>
      <c r="F111" s="2">
        <v>135.9</v>
      </c>
      <c r="G111" s="2">
        <v>132</v>
      </c>
      <c r="H111" s="2">
        <v>129.19999999999999</v>
      </c>
      <c r="I111" s="2">
        <v>109.7</v>
      </c>
      <c r="J111" s="2">
        <v>119</v>
      </c>
      <c r="K111" s="2">
        <v>144.1</v>
      </c>
      <c r="L111" s="2">
        <v>184.2</v>
      </c>
      <c r="M111" s="2">
        <v>96.7</v>
      </c>
      <c r="N111" s="2">
        <v>139.5</v>
      </c>
      <c r="O111" s="2">
        <v>120.5</v>
      </c>
      <c r="P111" s="2">
        <v>134.69999999999999</v>
      </c>
      <c r="Q111" s="2">
        <v>131.19999999999999</v>
      </c>
      <c r="R111" s="2">
        <v>139.5</v>
      </c>
      <c r="S111" s="2">
        <v>125.8</v>
      </c>
      <c r="T111" s="2">
        <v>119.8</v>
      </c>
      <c r="U111" s="2">
        <v>124.9</v>
      </c>
      <c r="V111" s="2">
        <v>100.4</v>
      </c>
      <c r="W111" s="2">
        <v>116.9</v>
      </c>
      <c r="X111" s="2">
        <v>121.6</v>
      </c>
      <c r="Y111" s="2">
        <v>119.1</v>
      </c>
      <c r="Z111" s="2">
        <v>108.9</v>
      </c>
      <c r="AA111" s="2">
        <v>118.5</v>
      </c>
      <c r="AB111" s="2">
        <v>126.4</v>
      </c>
      <c r="AC111" s="2">
        <v>114</v>
      </c>
      <c r="AD111" s="2">
        <v>116.8</v>
      </c>
      <c r="AE111" s="2">
        <v>124.2</v>
      </c>
      <c r="AG111" s="20">
        <f t="shared" si="4"/>
        <v>130.87692307692308</v>
      </c>
      <c r="AH111" s="2">
        <v>139.5</v>
      </c>
      <c r="AI111" s="20">
        <f t="shared" si="5"/>
        <v>112.96666666666665</v>
      </c>
      <c r="AJ111" s="20">
        <f t="shared" si="6"/>
        <v>123.5</v>
      </c>
      <c r="AK111" s="20">
        <f t="shared" si="7"/>
        <v>117.28333333333332</v>
      </c>
    </row>
    <row r="112" spans="1:37" ht="26.5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126.1</v>
      </c>
      <c r="F112" s="2">
        <v>134.1</v>
      </c>
      <c r="G112" s="2">
        <v>128.6</v>
      </c>
      <c r="H112" s="2">
        <v>129.9</v>
      </c>
      <c r="I112" s="2">
        <v>115.5</v>
      </c>
      <c r="J112" s="2">
        <v>125.7</v>
      </c>
      <c r="K112" s="2">
        <v>141.5</v>
      </c>
      <c r="L112" s="2">
        <v>170.7</v>
      </c>
      <c r="M112" s="2">
        <v>97.4</v>
      </c>
      <c r="N112" s="2">
        <v>132.9</v>
      </c>
      <c r="O112" s="2">
        <v>122.7</v>
      </c>
      <c r="P112" s="2">
        <v>135.30000000000001</v>
      </c>
      <c r="Q112" s="2">
        <v>131.30000000000001</v>
      </c>
      <c r="R112" s="2">
        <v>135.19999999999999</v>
      </c>
      <c r="S112" s="2">
        <v>130.30000000000001</v>
      </c>
      <c r="T112" s="2">
        <v>125.1</v>
      </c>
      <c r="U112" s="2">
        <v>129.5</v>
      </c>
      <c r="V112" s="2">
        <v>100.4</v>
      </c>
      <c r="W112" s="2">
        <v>122.7</v>
      </c>
      <c r="X112" s="2">
        <v>124.2</v>
      </c>
      <c r="Y112" s="2">
        <v>122</v>
      </c>
      <c r="Z112" s="2">
        <v>111.1</v>
      </c>
      <c r="AA112" s="2">
        <v>119.8</v>
      </c>
      <c r="AB112" s="2">
        <v>126.3</v>
      </c>
      <c r="AC112" s="2">
        <v>114.5</v>
      </c>
      <c r="AD112" s="2">
        <v>118.5</v>
      </c>
      <c r="AE112" s="2">
        <v>126.3</v>
      </c>
      <c r="AG112" s="20">
        <f t="shared" si="4"/>
        <v>130.13076923076923</v>
      </c>
      <c r="AH112" s="2">
        <v>135.19999999999999</v>
      </c>
      <c r="AI112" s="20">
        <f t="shared" si="5"/>
        <v>115.76666666666667</v>
      </c>
      <c r="AJ112" s="20">
        <f t="shared" si="6"/>
        <v>128.29999999999998</v>
      </c>
      <c r="AK112" s="20">
        <f t="shared" si="7"/>
        <v>118.7</v>
      </c>
    </row>
    <row r="113" spans="1:37" ht="15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127.1</v>
      </c>
      <c r="F113" s="2">
        <v>133.69999999999999</v>
      </c>
      <c r="G113" s="2">
        <v>127.7</v>
      </c>
      <c r="H113" s="2">
        <v>130.69999999999999</v>
      </c>
      <c r="I113" s="2">
        <v>118.5</v>
      </c>
      <c r="J113" s="2">
        <v>130.4</v>
      </c>
      <c r="K113" s="2">
        <v>130.9</v>
      </c>
      <c r="L113" s="2">
        <v>162.80000000000001</v>
      </c>
      <c r="M113" s="2">
        <v>98.7</v>
      </c>
      <c r="N113" s="2">
        <v>130.6</v>
      </c>
      <c r="O113" s="2">
        <v>124.8</v>
      </c>
      <c r="P113" s="2">
        <v>136.4</v>
      </c>
      <c r="Q113" s="2">
        <v>130.30000000000001</v>
      </c>
      <c r="R113" s="2">
        <v>134.4</v>
      </c>
      <c r="S113" s="2">
        <v>133.9</v>
      </c>
      <c r="T113" s="2">
        <v>129.80000000000001</v>
      </c>
      <c r="U113" s="2">
        <v>133.4</v>
      </c>
      <c r="V113" s="2">
        <f>VLOOKUP($A113,'Impute housing Missing Value'!$A$1:$C$125,3,0)</f>
        <v>124.4</v>
      </c>
      <c r="W113" s="2">
        <v>127.5</v>
      </c>
      <c r="X113" s="2">
        <v>127.1</v>
      </c>
      <c r="Y113" s="2">
        <v>124.3</v>
      </c>
      <c r="Z113" s="2">
        <v>113.9</v>
      </c>
      <c r="AA113" s="2">
        <v>122.3</v>
      </c>
      <c r="AB113" s="2">
        <v>127.1</v>
      </c>
      <c r="AC113" s="2">
        <v>116.8</v>
      </c>
      <c r="AD113" s="2">
        <v>120.9</v>
      </c>
      <c r="AE113" s="2">
        <v>127.9</v>
      </c>
      <c r="AG113" s="20">
        <f t="shared" si="4"/>
        <v>129.43076923076922</v>
      </c>
      <c r="AH113" s="2">
        <v>134.4</v>
      </c>
      <c r="AI113" s="20">
        <f t="shared" si="5"/>
        <v>126.33333333333333</v>
      </c>
      <c r="AJ113" s="20">
        <f t="shared" si="6"/>
        <v>132.36666666666667</v>
      </c>
      <c r="AK113" s="20">
        <f t="shared" si="7"/>
        <v>120.88333333333333</v>
      </c>
    </row>
    <row r="114" spans="1:37" ht="15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124.8</v>
      </c>
      <c r="F114" s="2">
        <v>135.1</v>
      </c>
      <c r="G114" s="2">
        <v>130.30000000000001</v>
      </c>
      <c r="H114" s="2">
        <v>129.6</v>
      </c>
      <c r="I114" s="2">
        <v>108.4</v>
      </c>
      <c r="J114" s="2">
        <v>118.6</v>
      </c>
      <c r="K114" s="2">
        <v>129.19999999999999</v>
      </c>
      <c r="L114" s="2">
        <v>176.4</v>
      </c>
      <c r="M114" s="2">
        <v>99.1</v>
      </c>
      <c r="N114" s="2">
        <v>139.69999999999999</v>
      </c>
      <c r="O114" s="2">
        <v>120.6</v>
      </c>
      <c r="P114" s="2">
        <v>135.19999999999999</v>
      </c>
      <c r="Q114" s="2">
        <v>129.1</v>
      </c>
      <c r="R114" s="2">
        <v>140</v>
      </c>
      <c r="S114" s="2">
        <v>126.2</v>
      </c>
      <c r="T114" s="2">
        <v>120.1</v>
      </c>
      <c r="U114" s="2">
        <v>125.3</v>
      </c>
      <c r="V114" s="2">
        <v>100.4</v>
      </c>
      <c r="W114" s="2">
        <v>116</v>
      </c>
      <c r="X114" s="2">
        <v>121.8</v>
      </c>
      <c r="Y114" s="2">
        <v>119.5</v>
      </c>
      <c r="Z114" s="2">
        <v>109.1</v>
      </c>
      <c r="AA114" s="2">
        <v>118.8</v>
      </c>
      <c r="AB114" s="2">
        <v>126.3</v>
      </c>
      <c r="AC114" s="2">
        <v>116.2</v>
      </c>
      <c r="AD114" s="2">
        <v>117.2</v>
      </c>
      <c r="AE114" s="2">
        <v>123.8</v>
      </c>
      <c r="AG114" s="20">
        <f t="shared" si="4"/>
        <v>128.93076923076922</v>
      </c>
      <c r="AH114" s="2">
        <v>140</v>
      </c>
      <c r="AI114" s="20">
        <f t="shared" si="5"/>
        <v>112.73333333333333</v>
      </c>
      <c r="AJ114" s="20">
        <f t="shared" si="6"/>
        <v>123.86666666666667</v>
      </c>
      <c r="AK114" s="20">
        <f t="shared" si="7"/>
        <v>117.85000000000001</v>
      </c>
    </row>
    <row r="115" spans="1:37" ht="26.5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126.4</v>
      </c>
      <c r="F115" s="2">
        <v>134.19999999999999</v>
      </c>
      <c r="G115" s="2">
        <v>128.69999999999999</v>
      </c>
      <c r="H115" s="2">
        <v>130.30000000000001</v>
      </c>
      <c r="I115" s="2">
        <v>114.8</v>
      </c>
      <c r="J115" s="2">
        <v>124.9</v>
      </c>
      <c r="K115" s="2">
        <v>130.30000000000001</v>
      </c>
      <c r="L115" s="2">
        <v>167.4</v>
      </c>
      <c r="M115" s="2">
        <v>98.8</v>
      </c>
      <c r="N115" s="2">
        <v>133.6</v>
      </c>
      <c r="O115" s="2">
        <v>123</v>
      </c>
      <c r="P115" s="2">
        <v>135.80000000000001</v>
      </c>
      <c r="Q115" s="2">
        <v>129.9</v>
      </c>
      <c r="R115" s="2">
        <v>135.9</v>
      </c>
      <c r="S115" s="2">
        <v>130.9</v>
      </c>
      <c r="T115" s="2">
        <v>125.8</v>
      </c>
      <c r="U115" s="2">
        <v>130.19999999999999</v>
      </c>
      <c r="V115" s="2">
        <v>100.4</v>
      </c>
      <c r="W115" s="2">
        <v>123.1</v>
      </c>
      <c r="X115" s="2">
        <v>124.6</v>
      </c>
      <c r="Y115" s="2">
        <v>122.5</v>
      </c>
      <c r="Z115" s="2">
        <v>111.4</v>
      </c>
      <c r="AA115" s="2">
        <v>120.3</v>
      </c>
      <c r="AB115" s="2">
        <v>126.6</v>
      </c>
      <c r="AC115" s="2">
        <v>116.6</v>
      </c>
      <c r="AD115" s="2">
        <v>119.1</v>
      </c>
      <c r="AE115" s="2">
        <v>126</v>
      </c>
      <c r="AG115" s="20">
        <f t="shared" si="4"/>
        <v>129.08461538461538</v>
      </c>
      <c r="AH115" s="2">
        <v>135.9</v>
      </c>
      <c r="AI115" s="20">
        <f t="shared" si="5"/>
        <v>116.03333333333335</v>
      </c>
      <c r="AJ115" s="20">
        <f t="shared" si="6"/>
        <v>128.96666666666667</v>
      </c>
      <c r="AK115" s="20">
        <f t="shared" si="7"/>
        <v>119.41666666666667</v>
      </c>
    </row>
    <row r="116" spans="1:37" ht="15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127.3</v>
      </c>
      <c r="F116" s="2">
        <v>134.4</v>
      </c>
      <c r="G116" s="2">
        <v>125.1</v>
      </c>
      <c r="H116" s="2">
        <v>130.5</v>
      </c>
      <c r="I116" s="2">
        <v>118.3</v>
      </c>
      <c r="J116" s="2">
        <v>131.69999999999999</v>
      </c>
      <c r="K116" s="2">
        <v>130.69999999999999</v>
      </c>
      <c r="L116" s="2">
        <v>161.19999999999999</v>
      </c>
      <c r="M116" s="2">
        <v>100.4</v>
      </c>
      <c r="N116" s="2">
        <v>130.80000000000001</v>
      </c>
      <c r="O116" s="2">
        <v>124.9</v>
      </c>
      <c r="P116" s="2">
        <v>137</v>
      </c>
      <c r="Q116" s="2">
        <v>130.4</v>
      </c>
      <c r="R116" s="2">
        <v>135</v>
      </c>
      <c r="S116" s="2">
        <v>134.4</v>
      </c>
      <c r="T116" s="2">
        <v>130.19999999999999</v>
      </c>
      <c r="U116" s="2">
        <v>133.80000000000001</v>
      </c>
      <c r="V116" s="2">
        <f>VLOOKUP($A116,'Impute housing Missing Value'!$A$1:$C$125,3,0)</f>
        <v>124.9</v>
      </c>
      <c r="W116" s="2">
        <v>127</v>
      </c>
      <c r="X116" s="2">
        <v>127.7</v>
      </c>
      <c r="Y116" s="2">
        <v>124.8</v>
      </c>
      <c r="Z116" s="2">
        <v>113.6</v>
      </c>
      <c r="AA116" s="2">
        <v>122.5</v>
      </c>
      <c r="AB116" s="2">
        <v>127.5</v>
      </c>
      <c r="AC116" s="2">
        <v>117.4</v>
      </c>
      <c r="AD116" s="2">
        <v>121.1</v>
      </c>
      <c r="AE116" s="2">
        <v>128</v>
      </c>
      <c r="AG116" s="20">
        <f t="shared" si="4"/>
        <v>129.43846153846155</v>
      </c>
      <c r="AH116" s="2">
        <v>135</v>
      </c>
      <c r="AI116" s="20">
        <f t="shared" si="5"/>
        <v>126.53333333333335</v>
      </c>
      <c r="AJ116" s="20">
        <f t="shared" si="6"/>
        <v>132.80000000000001</v>
      </c>
      <c r="AK116" s="20">
        <f t="shared" si="7"/>
        <v>121.14999999999999</v>
      </c>
    </row>
    <row r="117" spans="1:37" ht="15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124.8</v>
      </c>
      <c r="F117" s="2">
        <v>136.30000000000001</v>
      </c>
      <c r="G117" s="2">
        <v>123.7</v>
      </c>
      <c r="H117" s="2">
        <v>129.69999999999999</v>
      </c>
      <c r="I117" s="2">
        <v>107.9</v>
      </c>
      <c r="J117" s="2">
        <v>119.9</v>
      </c>
      <c r="K117" s="2">
        <v>128.1</v>
      </c>
      <c r="L117" s="2">
        <v>170.3</v>
      </c>
      <c r="M117" s="2">
        <v>101.8</v>
      </c>
      <c r="N117" s="2">
        <v>140.1</v>
      </c>
      <c r="O117" s="2">
        <v>120.7</v>
      </c>
      <c r="P117" s="2">
        <v>135.4</v>
      </c>
      <c r="Q117" s="2">
        <v>128.9</v>
      </c>
      <c r="R117" s="2">
        <v>140.6</v>
      </c>
      <c r="S117" s="2">
        <v>126.4</v>
      </c>
      <c r="T117" s="2">
        <v>120.3</v>
      </c>
      <c r="U117" s="2">
        <v>125.5</v>
      </c>
      <c r="V117" s="2">
        <v>100.4</v>
      </c>
      <c r="W117" s="2">
        <v>114.8</v>
      </c>
      <c r="X117" s="2">
        <v>122.3</v>
      </c>
      <c r="Y117" s="2">
        <v>119.7</v>
      </c>
      <c r="Z117" s="2">
        <v>108.5</v>
      </c>
      <c r="AA117" s="2">
        <v>119.1</v>
      </c>
      <c r="AB117" s="2">
        <v>126.4</v>
      </c>
      <c r="AC117" s="2">
        <v>117.1</v>
      </c>
      <c r="AD117" s="2">
        <v>117.3</v>
      </c>
      <c r="AE117" s="2">
        <v>123.8</v>
      </c>
      <c r="AG117" s="20">
        <f t="shared" si="4"/>
        <v>128.27692307692308</v>
      </c>
      <c r="AH117" s="2">
        <v>140.6</v>
      </c>
      <c r="AI117" s="20">
        <f t="shared" si="5"/>
        <v>112.5</v>
      </c>
      <c r="AJ117" s="20">
        <f t="shared" si="6"/>
        <v>124.06666666666666</v>
      </c>
      <c r="AK117" s="20">
        <f t="shared" si="7"/>
        <v>118.01666666666665</v>
      </c>
    </row>
    <row r="118" spans="1:37" ht="26.5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126.5</v>
      </c>
      <c r="F118" s="2">
        <v>135.1</v>
      </c>
      <c r="G118" s="2">
        <v>124.6</v>
      </c>
      <c r="H118" s="2">
        <v>130.19999999999999</v>
      </c>
      <c r="I118" s="2">
        <v>114.5</v>
      </c>
      <c r="J118" s="2">
        <v>126.2</v>
      </c>
      <c r="K118" s="2">
        <v>129.80000000000001</v>
      </c>
      <c r="L118" s="2">
        <v>164.3</v>
      </c>
      <c r="M118" s="2">
        <v>100.9</v>
      </c>
      <c r="N118" s="2">
        <v>133.9</v>
      </c>
      <c r="O118" s="2">
        <v>123.1</v>
      </c>
      <c r="P118" s="2">
        <v>136.30000000000001</v>
      </c>
      <c r="Q118" s="2">
        <v>129.80000000000001</v>
      </c>
      <c r="R118" s="2">
        <v>136.5</v>
      </c>
      <c r="S118" s="2">
        <v>131.30000000000001</v>
      </c>
      <c r="T118" s="2">
        <v>126.1</v>
      </c>
      <c r="U118" s="2">
        <v>130.5</v>
      </c>
      <c r="V118" s="2">
        <v>100.4</v>
      </c>
      <c r="W118" s="2">
        <v>122.4</v>
      </c>
      <c r="X118" s="2">
        <v>125.1</v>
      </c>
      <c r="Y118" s="2">
        <v>122.9</v>
      </c>
      <c r="Z118" s="2">
        <v>110.9</v>
      </c>
      <c r="AA118" s="2">
        <v>120.6</v>
      </c>
      <c r="AB118" s="2">
        <v>126.9</v>
      </c>
      <c r="AC118" s="2">
        <v>117.3</v>
      </c>
      <c r="AD118" s="2">
        <v>119.3</v>
      </c>
      <c r="AE118" s="2">
        <v>126</v>
      </c>
      <c r="AG118" s="20">
        <f t="shared" si="4"/>
        <v>128.86153846153846</v>
      </c>
      <c r="AH118" s="2">
        <v>136.5</v>
      </c>
      <c r="AI118" s="20">
        <f t="shared" si="5"/>
        <v>115.96666666666665</v>
      </c>
      <c r="AJ118" s="20">
        <f t="shared" si="6"/>
        <v>129.29999999999998</v>
      </c>
      <c r="AK118" s="20">
        <f t="shared" si="7"/>
        <v>119.64999999999998</v>
      </c>
    </row>
    <row r="119" spans="1:37" ht="15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127.4</v>
      </c>
      <c r="F119" s="2">
        <v>135.4</v>
      </c>
      <c r="G119" s="2">
        <v>123.4</v>
      </c>
      <c r="H119" s="2">
        <v>131.30000000000001</v>
      </c>
      <c r="I119" s="2">
        <v>118.2</v>
      </c>
      <c r="J119" s="2">
        <v>138.1</v>
      </c>
      <c r="K119" s="2">
        <v>134.1</v>
      </c>
      <c r="L119" s="2">
        <v>162.69999999999999</v>
      </c>
      <c r="M119" s="2">
        <v>105</v>
      </c>
      <c r="N119" s="2">
        <v>131.4</v>
      </c>
      <c r="O119" s="2">
        <v>125.4</v>
      </c>
      <c r="P119" s="2">
        <v>137.4</v>
      </c>
      <c r="Q119" s="2">
        <v>131.80000000000001</v>
      </c>
      <c r="R119" s="2">
        <v>135.5</v>
      </c>
      <c r="S119" s="2">
        <v>135</v>
      </c>
      <c r="T119" s="2">
        <v>130.6</v>
      </c>
      <c r="U119" s="2">
        <v>134.4</v>
      </c>
      <c r="V119" s="2">
        <f>VLOOKUP($A119,'Impute housing Missing Value'!$A$1:$C$125,3,0)</f>
        <v>125.6</v>
      </c>
      <c r="W119" s="2">
        <v>127</v>
      </c>
      <c r="X119" s="2">
        <v>128</v>
      </c>
      <c r="Y119" s="2">
        <v>125.2</v>
      </c>
      <c r="Z119" s="2">
        <v>114.4</v>
      </c>
      <c r="AA119" s="2">
        <v>123.2</v>
      </c>
      <c r="AB119" s="2">
        <v>127.9</v>
      </c>
      <c r="AC119" s="2">
        <v>118.4</v>
      </c>
      <c r="AD119" s="2">
        <v>121.7</v>
      </c>
      <c r="AE119" s="2">
        <v>129</v>
      </c>
      <c r="AG119" s="20">
        <f t="shared" si="4"/>
        <v>130.89230769230772</v>
      </c>
      <c r="AH119" s="2">
        <v>135.5</v>
      </c>
      <c r="AI119" s="20">
        <f t="shared" si="5"/>
        <v>126.86666666666667</v>
      </c>
      <c r="AJ119" s="20">
        <f t="shared" si="6"/>
        <v>133.33333333333334</v>
      </c>
      <c r="AK119" s="20">
        <f t="shared" si="7"/>
        <v>121.80000000000001</v>
      </c>
    </row>
    <row r="120" spans="1:37" ht="15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124.9</v>
      </c>
      <c r="F120" s="2">
        <v>139.30000000000001</v>
      </c>
      <c r="G120" s="2">
        <v>119.9</v>
      </c>
      <c r="H120" s="2">
        <v>130.19999999999999</v>
      </c>
      <c r="I120" s="2">
        <v>108.9</v>
      </c>
      <c r="J120" s="2">
        <v>131.1</v>
      </c>
      <c r="K120" s="2">
        <v>136.80000000000001</v>
      </c>
      <c r="L120" s="2">
        <v>176.9</v>
      </c>
      <c r="M120" s="2">
        <v>109.1</v>
      </c>
      <c r="N120" s="2">
        <v>140.4</v>
      </c>
      <c r="O120" s="2">
        <v>121.1</v>
      </c>
      <c r="P120" s="2">
        <v>135.9</v>
      </c>
      <c r="Q120" s="2">
        <v>131.80000000000001</v>
      </c>
      <c r="R120" s="2">
        <v>141.5</v>
      </c>
      <c r="S120" s="2">
        <v>126.8</v>
      </c>
      <c r="T120" s="2">
        <v>120.5</v>
      </c>
      <c r="U120" s="2">
        <v>125.8</v>
      </c>
      <c r="V120" s="2">
        <v>100.4</v>
      </c>
      <c r="W120" s="2">
        <v>114.6</v>
      </c>
      <c r="X120" s="2">
        <v>122.8</v>
      </c>
      <c r="Y120" s="2">
        <v>120</v>
      </c>
      <c r="Z120" s="2">
        <v>110</v>
      </c>
      <c r="AA120" s="2">
        <v>119.5</v>
      </c>
      <c r="AB120" s="2">
        <v>127.6</v>
      </c>
      <c r="AC120" s="2">
        <v>117.6</v>
      </c>
      <c r="AD120" s="2">
        <v>118.2</v>
      </c>
      <c r="AE120" s="2">
        <v>125.3</v>
      </c>
      <c r="AG120" s="20">
        <f t="shared" si="4"/>
        <v>131.25384615384615</v>
      </c>
      <c r="AH120" s="2">
        <v>141.5</v>
      </c>
      <c r="AI120" s="20">
        <f t="shared" si="5"/>
        <v>112.60000000000001</v>
      </c>
      <c r="AJ120" s="20">
        <f t="shared" si="6"/>
        <v>124.36666666666667</v>
      </c>
      <c r="AK120" s="20">
        <f t="shared" si="7"/>
        <v>118.81666666666668</v>
      </c>
    </row>
    <row r="121" spans="1:37" ht="26.5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126.6</v>
      </c>
      <c r="F121" s="2">
        <v>136.80000000000001</v>
      </c>
      <c r="G121" s="2">
        <v>122</v>
      </c>
      <c r="H121" s="2">
        <v>130.9</v>
      </c>
      <c r="I121" s="2">
        <v>114.8</v>
      </c>
      <c r="J121" s="2">
        <v>134.80000000000001</v>
      </c>
      <c r="K121" s="2">
        <v>135</v>
      </c>
      <c r="L121" s="2">
        <v>167.5</v>
      </c>
      <c r="M121" s="2">
        <v>106.4</v>
      </c>
      <c r="N121" s="2">
        <v>134.4</v>
      </c>
      <c r="O121" s="2">
        <v>123.6</v>
      </c>
      <c r="P121" s="2">
        <v>136.69999999999999</v>
      </c>
      <c r="Q121" s="2">
        <v>131.80000000000001</v>
      </c>
      <c r="R121" s="2">
        <v>137.1</v>
      </c>
      <c r="S121" s="2">
        <v>131.80000000000001</v>
      </c>
      <c r="T121" s="2">
        <v>126.4</v>
      </c>
      <c r="U121" s="2">
        <v>131</v>
      </c>
      <c r="V121" s="2">
        <v>100.4</v>
      </c>
      <c r="W121" s="2">
        <v>122.3</v>
      </c>
      <c r="X121" s="2">
        <v>125.5</v>
      </c>
      <c r="Y121" s="2">
        <v>123.2</v>
      </c>
      <c r="Z121" s="2">
        <v>112.1</v>
      </c>
      <c r="AA121" s="2">
        <v>121.1</v>
      </c>
      <c r="AB121" s="2">
        <v>127.7</v>
      </c>
      <c r="AC121" s="2">
        <v>118.1</v>
      </c>
      <c r="AD121" s="2">
        <v>120</v>
      </c>
      <c r="AE121" s="2">
        <v>127.3</v>
      </c>
      <c r="AG121" s="20">
        <f t="shared" si="4"/>
        <v>130.86923076923077</v>
      </c>
      <c r="AH121" s="2">
        <v>137.1</v>
      </c>
      <c r="AI121" s="20">
        <f t="shared" si="5"/>
        <v>116.06666666666666</v>
      </c>
      <c r="AJ121" s="20">
        <f t="shared" si="6"/>
        <v>129.73333333333335</v>
      </c>
      <c r="AK121" s="20">
        <f t="shared" si="7"/>
        <v>120.36666666666666</v>
      </c>
    </row>
    <row r="122" spans="1:37" ht="15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127.6</v>
      </c>
      <c r="F122" s="2">
        <v>137.5</v>
      </c>
      <c r="G122" s="2">
        <v>124.4</v>
      </c>
      <c r="H122" s="2">
        <v>132.4</v>
      </c>
      <c r="I122" s="2">
        <v>118.2</v>
      </c>
      <c r="J122" s="2">
        <v>138.1</v>
      </c>
      <c r="K122" s="2">
        <v>141.80000000000001</v>
      </c>
      <c r="L122" s="2">
        <v>166</v>
      </c>
      <c r="M122" s="2">
        <v>107.5</v>
      </c>
      <c r="N122" s="2">
        <v>132.19999999999999</v>
      </c>
      <c r="O122" s="2">
        <v>126.1</v>
      </c>
      <c r="P122" s="2">
        <v>138.30000000000001</v>
      </c>
      <c r="Q122" s="2">
        <v>133.6</v>
      </c>
      <c r="R122" s="2">
        <v>136</v>
      </c>
      <c r="S122" s="2">
        <v>135.4</v>
      </c>
      <c r="T122" s="2">
        <v>131.1</v>
      </c>
      <c r="U122" s="2">
        <v>134.80000000000001</v>
      </c>
      <c r="V122" s="2">
        <f>VLOOKUP($A122,'Impute housing Missing Value'!$A$1:$C$125,3,0)</f>
        <v>126</v>
      </c>
      <c r="W122" s="2">
        <v>127.4</v>
      </c>
      <c r="X122" s="2">
        <v>128.5</v>
      </c>
      <c r="Y122" s="2">
        <v>125.8</v>
      </c>
      <c r="Z122" s="2">
        <v>115.1</v>
      </c>
      <c r="AA122" s="2">
        <v>123.6</v>
      </c>
      <c r="AB122" s="2">
        <v>129.1</v>
      </c>
      <c r="AC122" s="2">
        <v>119.7</v>
      </c>
      <c r="AD122" s="2">
        <v>122.5</v>
      </c>
      <c r="AE122" s="2">
        <v>130.30000000000001</v>
      </c>
      <c r="AG122" s="20">
        <f t="shared" si="4"/>
        <v>132.59230769230768</v>
      </c>
      <c r="AH122" s="2">
        <v>136</v>
      </c>
      <c r="AI122" s="20">
        <f t="shared" si="5"/>
        <v>127.3</v>
      </c>
      <c r="AJ122" s="20">
        <f t="shared" si="6"/>
        <v>133.76666666666668</v>
      </c>
      <c r="AK122" s="20">
        <f t="shared" si="7"/>
        <v>122.63333333333334</v>
      </c>
    </row>
    <row r="123" spans="1:37" ht="15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125</v>
      </c>
      <c r="F123" s="2">
        <v>142.1</v>
      </c>
      <c r="G123" s="2">
        <v>127</v>
      </c>
      <c r="H123" s="2">
        <v>130.4</v>
      </c>
      <c r="I123" s="2">
        <v>109.6</v>
      </c>
      <c r="J123" s="2">
        <v>133.5</v>
      </c>
      <c r="K123" s="2">
        <v>151.4</v>
      </c>
      <c r="L123" s="2">
        <v>182.8</v>
      </c>
      <c r="M123" s="2">
        <v>111.1</v>
      </c>
      <c r="N123" s="2">
        <v>141.5</v>
      </c>
      <c r="O123" s="2">
        <v>121.5</v>
      </c>
      <c r="P123" s="2">
        <v>136.30000000000001</v>
      </c>
      <c r="Q123" s="2">
        <v>134.6</v>
      </c>
      <c r="R123" s="2">
        <v>142.19999999999999</v>
      </c>
      <c r="S123" s="2">
        <v>127.2</v>
      </c>
      <c r="T123" s="2">
        <v>120.7</v>
      </c>
      <c r="U123" s="2">
        <v>126.2</v>
      </c>
      <c r="V123" s="2">
        <v>100.4</v>
      </c>
      <c r="W123" s="2">
        <v>115</v>
      </c>
      <c r="X123" s="2">
        <v>123.2</v>
      </c>
      <c r="Y123" s="2">
        <v>120.3</v>
      </c>
      <c r="Z123" s="2">
        <v>110.7</v>
      </c>
      <c r="AA123" s="2">
        <v>119.8</v>
      </c>
      <c r="AB123" s="2">
        <v>128</v>
      </c>
      <c r="AC123" s="2">
        <v>118.5</v>
      </c>
      <c r="AD123" s="2">
        <v>118.7</v>
      </c>
      <c r="AE123" s="2">
        <v>126.6</v>
      </c>
      <c r="AG123" s="20">
        <f t="shared" si="4"/>
        <v>134.36923076923074</v>
      </c>
      <c r="AH123" s="2">
        <v>142.19999999999999</v>
      </c>
      <c r="AI123" s="20">
        <f t="shared" si="5"/>
        <v>112.86666666666667</v>
      </c>
      <c r="AJ123" s="20">
        <f t="shared" si="6"/>
        <v>124.7</v>
      </c>
      <c r="AK123" s="20">
        <f t="shared" si="7"/>
        <v>119.33333333333333</v>
      </c>
    </row>
    <row r="124" spans="1:37" ht="26.5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126.8</v>
      </c>
      <c r="F124" s="2">
        <v>139.1</v>
      </c>
      <c r="G124" s="2">
        <v>125.4</v>
      </c>
      <c r="H124" s="2">
        <v>131.69999999999999</v>
      </c>
      <c r="I124" s="2">
        <v>115</v>
      </c>
      <c r="J124" s="2">
        <v>136</v>
      </c>
      <c r="K124" s="2">
        <v>145.1</v>
      </c>
      <c r="L124" s="2">
        <v>171.7</v>
      </c>
      <c r="M124" s="2">
        <v>108.7</v>
      </c>
      <c r="N124" s="2">
        <v>135.30000000000001</v>
      </c>
      <c r="O124" s="2">
        <v>124.2</v>
      </c>
      <c r="P124" s="2">
        <v>137.4</v>
      </c>
      <c r="Q124" s="2">
        <v>134</v>
      </c>
      <c r="R124" s="2">
        <v>137.69999999999999</v>
      </c>
      <c r="S124" s="2">
        <v>132.19999999999999</v>
      </c>
      <c r="T124" s="2">
        <v>126.8</v>
      </c>
      <c r="U124" s="2">
        <v>131.4</v>
      </c>
      <c r="V124" s="2">
        <v>100.4</v>
      </c>
      <c r="W124" s="2">
        <v>122.7</v>
      </c>
      <c r="X124" s="2">
        <v>126</v>
      </c>
      <c r="Y124" s="2">
        <v>123.7</v>
      </c>
      <c r="Z124" s="2">
        <v>112.8</v>
      </c>
      <c r="AA124" s="2">
        <v>121.5</v>
      </c>
      <c r="AB124" s="2">
        <v>128.5</v>
      </c>
      <c r="AC124" s="2">
        <v>119.2</v>
      </c>
      <c r="AD124" s="2">
        <v>120.7</v>
      </c>
      <c r="AE124" s="2">
        <v>128.6</v>
      </c>
      <c r="AG124" s="20">
        <f t="shared" si="4"/>
        <v>133.1076923076923</v>
      </c>
      <c r="AH124" s="2">
        <v>137.69999999999999</v>
      </c>
      <c r="AI124" s="20">
        <f t="shared" si="5"/>
        <v>116.36666666666667</v>
      </c>
      <c r="AJ124" s="20">
        <f t="shared" si="6"/>
        <v>130.13333333333333</v>
      </c>
      <c r="AK124" s="20">
        <f t="shared" si="7"/>
        <v>121.06666666666668</v>
      </c>
    </row>
    <row r="125" spans="1:37" ht="15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128.6</v>
      </c>
      <c r="F125" s="2">
        <v>138.6</v>
      </c>
      <c r="G125" s="2">
        <v>126.6</v>
      </c>
      <c r="H125" s="2">
        <v>133.6</v>
      </c>
      <c r="I125" s="2">
        <v>118.6</v>
      </c>
      <c r="J125" s="2">
        <v>137.4</v>
      </c>
      <c r="K125" s="2">
        <v>152.5</v>
      </c>
      <c r="L125" s="2">
        <v>169.2</v>
      </c>
      <c r="M125" s="2">
        <v>108.8</v>
      </c>
      <c r="N125" s="2">
        <v>133.1</v>
      </c>
      <c r="O125" s="2">
        <v>126.4</v>
      </c>
      <c r="P125" s="2">
        <v>139.19999999999999</v>
      </c>
      <c r="Q125" s="2">
        <v>136</v>
      </c>
      <c r="R125" s="2">
        <v>137.19999999999999</v>
      </c>
      <c r="S125" s="2">
        <v>136.30000000000001</v>
      </c>
      <c r="T125" s="2">
        <v>131.6</v>
      </c>
      <c r="U125" s="2">
        <v>135.6</v>
      </c>
      <c r="V125" s="2">
        <f>VLOOKUP($A125,'Impute housing Missing Value'!$A$1:$C$125,3,0)</f>
        <v>125.5</v>
      </c>
      <c r="W125" s="2">
        <v>128</v>
      </c>
      <c r="X125" s="2">
        <v>129.30000000000001</v>
      </c>
      <c r="Y125" s="2">
        <v>126.2</v>
      </c>
      <c r="Z125" s="2">
        <v>116.3</v>
      </c>
      <c r="AA125" s="2">
        <v>124.1</v>
      </c>
      <c r="AB125" s="2">
        <v>130.19999999999999</v>
      </c>
      <c r="AC125" s="2">
        <v>119.9</v>
      </c>
      <c r="AD125" s="2">
        <v>123.3</v>
      </c>
      <c r="AE125" s="2">
        <v>131.9</v>
      </c>
      <c r="AG125" s="20">
        <f t="shared" si="4"/>
        <v>134.50769230769231</v>
      </c>
      <c r="AH125" s="2">
        <v>137.19999999999999</v>
      </c>
      <c r="AI125" s="20">
        <f t="shared" si="5"/>
        <v>127.60000000000001</v>
      </c>
      <c r="AJ125" s="20">
        <f t="shared" si="6"/>
        <v>134.5</v>
      </c>
      <c r="AK125" s="20">
        <f t="shared" si="7"/>
        <v>123.33333333333333</v>
      </c>
    </row>
    <row r="126" spans="1:37" ht="15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125.9</v>
      </c>
      <c r="F126" s="2">
        <v>143.9</v>
      </c>
      <c r="G126" s="2">
        <v>130.9</v>
      </c>
      <c r="H126" s="2">
        <v>131</v>
      </c>
      <c r="I126" s="2">
        <v>110.2</v>
      </c>
      <c r="J126" s="2">
        <v>135.5</v>
      </c>
      <c r="K126" s="2">
        <v>173.7</v>
      </c>
      <c r="L126" s="2">
        <v>184.4</v>
      </c>
      <c r="M126" s="2">
        <v>112</v>
      </c>
      <c r="N126" s="2">
        <v>142.80000000000001</v>
      </c>
      <c r="O126" s="2">
        <v>121.6</v>
      </c>
      <c r="P126" s="2">
        <v>136.9</v>
      </c>
      <c r="Q126" s="2">
        <v>138.19999999999999</v>
      </c>
      <c r="R126" s="2">
        <v>142.69999999999999</v>
      </c>
      <c r="S126" s="2">
        <v>127.6</v>
      </c>
      <c r="T126" s="2">
        <v>121.1</v>
      </c>
      <c r="U126" s="2">
        <v>126.6</v>
      </c>
      <c r="V126" s="2">
        <v>100.4</v>
      </c>
      <c r="W126" s="2">
        <v>115.5</v>
      </c>
      <c r="X126" s="2">
        <v>123.2</v>
      </c>
      <c r="Y126" s="2">
        <v>120.6</v>
      </c>
      <c r="Z126" s="2">
        <v>112.3</v>
      </c>
      <c r="AA126" s="2">
        <v>119.9</v>
      </c>
      <c r="AB126" s="2">
        <v>129.30000000000001</v>
      </c>
      <c r="AC126" s="2">
        <v>118.8</v>
      </c>
      <c r="AD126" s="2">
        <v>119.6</v>
      </c>
      <c r="AE126" s="2">
        <v>128.1</v>
      </c>
      <c r="AG126" s="20">
        <f t="shared" si="4"/>
        <v>137.46153846153848</v>
      </c>
      <c r="AH126" s="2">
        <v>142.69999999999999</v>
      </c>
      <c r="AI126" s="20">
        <f t="shared" si="5"/>
        <v>113.03333333333335</v>
      </c>
      <c r="AJ126" s="20">
        <f t="shared" si="6"/>
        <v>125.09999999999998</v>
      </c>
      <c r="AK126" s="20">
        <f t="shared" si="7"/>
        <v>120.08333333333333</v>
      </c>
    </row>
    <row r="127" spans="1:37" ht="26.5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127.7</v>
      </c>
      <c r="F127" s="2">
        <v>140.5</v>
      </c>
      <c r="G127" s="2">
        <v>128.30000000000001</v>
      </c>
      <c r="H127" s="2">
        <v>132.6</v>
      </c>
      <c r="I127" s="2">
        <v>115.5</v>
      </c>
      <c r="J127" s="2">
        <v>136.5</v>
      </c>
      <c r="K127" s="2">
        <v>159.69999999999999</v>
      </c>
      <c r="L127" s="2">
        <v>174.3</v>
      </c>
      <c r="M127" s="2">
        <v>109.9</v>
      </c>
      <c r="N127" s="2">
        <v>136.30000000000001</v>
      </c>
      <c r="O127" s="2">
        <v>124.4</v>
      </c>
      <c r="P127" s="2">
        <v>138.1</v>
      </c>
      <c r="Q127" s="2">
        <v>136.80000000000001</v>
      </c>
      <c r="R127" s="2">
        <v>138.69999999999999</v>
      </c>
      <c r="S127" s="2">
        <v>132.9</v>
      </c>
      <c r="T127" s="2">
        <v>127.2</v>
      </c>
      <c r="U127" s="2">
        <v>132</v>
      </c>
      <c r="V127" s="2">
        <v>100.4</v>
      </c>
      <c r="W127" s="2">
        <v>123.3</v>
      </c>
      <c r="X127" s="2">
        <v>126.4</v>
      </c>
      <c r="Y127" s="2">
        <v>124.1</v>
      </c>
      <c r="Z127" s="2">
        <v>114.2</v>
      </c>
      <c r="AA127" s="2">
        <v>121.7</v>
      </c>
      <c r="AB127" s="2">
        <v>129.69999999999999</v>
      </c>
      <c r="AC127" s="2">
        <v>119.4</v>
      </c>
      <c r="AD127" s="2">
        <v>121.5</v>
      </c>
      <c r="AE127" s="2">
        <v>130.1</v>
      </c>
      <c r="AG127" s="20">
        <f t="shared" si="4"/>
        <v>135.43076923076922</v>
      </c>
      <c r="AH127" s="2">
        <v>138.69999999999999</v>
      </c>
      <c r="AI127" s="20">
        <f t="shared" si="5"/>
        <v>116.7</v>
      </c>
      <c r="AJ127" s="20">
        <f t="shared" si="6"/>
        <v>130.70000000000002</v>
      </c>
      <c r="AK127" s="20">
        <f t="shared" si="7"/>
        <v>121.76666666666667</v>
      </c>
    </row>
    <row r="128" spans="1:37" ht="15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129.30000000000001</v>
      </c>
      <c r="F128" s="2">
        <v>139.5</v>
      </c>
      <c r="G128" s="2">
        <v>129.6</v>
      </c>
      <c r="H128" s="2">
        <v>134.5</v>
      </c>
      <c r="I128" s="2">
        <v>119.5</v>
      </c>
      <c r="J128" s="2">
        <v>138.5</v>
      </c>
      <c r="K128" s="2">
        <v>158.19999999999999</v>
      </c>
      <c r="L128" s="2">
        <v>171.8</v>
      </c>
      <c r="M128" s="2">
        <v>110.3</v>
      </c>
      <c r="N128" s="2">
        <v>134.30000000000001</v>
      </c>
      <c r="O128" s="2">
        <v>127.3</v>
      </c>
      <c r="P128" s="2">
        <v>139.9</v>
      </c>
      <c r="Q128" s="2">
        <v>137.6</v>
      </c>
      <c r="R128" s="2">
        <v>138</v>
      </c>
      <c r="S128" s="2">
        <v>137.19999999999999</v>
      </c>
      <c r="T128" s="2">
        <v>132.19999999999999</v>
      </c>
      <c r="U128" s="2">
        <v>136.5</v>
      </c>
      <c r="V128" s="2">
        <f>VLOOKUP($A128,'Impute housing Missing Value'!$A$1:$C$125,3,0)</f>
        <v>126.4</v>
      </c>
      <c r="W128" s="2">
        <v>128.19999999999999</v>
      </c>
      <c r="X128" s="2">
        <v>130</v>
      </c>
      <c r="Y128" s="2">
        <v>126.7</v>
      </c>
      <c r="Z128" s="2">
        <v>116.4</v>
      </c>
      <c r="AA128" s="2">
        <v>125.2</v>
      </c>
      <c r="AB128" s="2">
        <v>130.80000000000001</v>
      </c>
      <c r="AC128" s="2">
        <v>120.9</v>
      </c>
      <c r="AD128" s="2">
        <v>123.8</v>
      </c>
      <c r="AE128" s="2">
        <v>133</v>
      </c>
      <c r="AG128" s="20">
        <f t="shared" si="4"/>
        <v>136.17692307692306</v>
      </c>
      <c r="AH128" s="2">
        <v>138</v>
      </c>
      <c r="AI128" s="20">
        <f t="shared" si="5"/>
        <v>128.20000000000002</v>
      </c>
      <c r="AJ128" s="20">
        <f t="shared" si="6"/>
        <v>135.29999999999998</v>
      </c>
      <c r="AK128" s="20">
        <f t="shared" si="7"/>
        <v>123.96666666666665</v>
      </c>
    </row>
    <row r="129" spans="1:37" ht="15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126.8</v>
      </c>
      <c r="F129" s="2">
        <v>144.19999999999999</v>
      </c>
      <c r="G129" s="2">
        <v>136.6</v>
      </c>
      <c r="H129" s="2">
        <v>131.80000000000001</v>
      </c>
      <c r="I129" s="2">
        <v>111</v>
      </c>
      <c r="J129" s="2">
        <v>137</v>
      </c>
      <c r="K129" s="2">
        <v>179.5</v>
      </c>
      <c r="L129" s="2">
        <v>188.4</v>
      </c>
      <c r="M129" s="2">
        <v>113.3</v>
      </c>
      <c r="N129" s="2">
        <v>143.9</v>
      </c>
      <c r="O129" s="2">
        <v>121.7</v>
      </c>
      <c r="P129" s="2">
        <v>137.5</v>
      </c>
      <c r="Q129" s="2">
        <v>139.80000000000001</v>
      </c>
      <c r="R129" s="2">
        <v>142.9</v>
      </c>
      <c r="S129" s="2">
        <v>127.9</v>
      </c>
      <c r="T129" s="2">
        <v>121.1</v>
      </c>
      <c r="U129" s="2">
        <v>126.9</v>
      </c>
      <c r="V129" s="2">
        <v>100.5</v>
      </c>
      <c r="W129" s="2">
        <v>115.5</v>
      </c>
      <c r="X129" s="2">
        <v>123.5</v>
      </c>
      <c r="Y129" s="2">
        <v>120.9</v>
      </c>
      <c r="Z129" s="2">
        <v>111.7</v>
      </c>
      <c r="AA129" s="2">
        <v>120.3</v>
      </c>
      <c r="AB129" s="2">
        <v>130.80000000000001</v>
      </c>
      <c r="AC129" s="2">
        <v>120</v>
      </c>
      <c r="AD129" s="2">
        <v>119.9</v>
      </c>
      <c r="AE129" s="2">
        <v>129</v>
      </c>
      <c r="AG129" s="20">
        <f t="shared" si="4"/>
        <v>139.34615384615387</v>
      </c>
      <c r="AH129" s="2">
        <v>142.9</v>
      </c>
      <c r="AI129" s="20">
        <f t="shared" si="5"/>
        <v>113.16666666666667</v>
      </c>
      <c r="AJ129" s="20">
        <f t="shared" si="6"/>
        <v>125.3</v>
      </c>
      <c r="AK129" s="20">
        <f t="shared" si="7"/>
        <v>120.60000000000001</v>
      </c>
    </row>
    <row r="130" spans="1:37" ht="26.5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128.5</v>
      </c>
      <c r="F130" s="2">
        <v>141.19999999999999</v>
      </c>
      <c r="G130" s="2">
        <v>132.30000000000001</v>
      </c>
      <c r="H130" s="2">
        <v>133.5</v>
      </c>
      <c r="I130" s="2">
        <v>116.4</v>
      </c>
      <c r="J130" s="2">
        <v>137.80000000000001</v>
      </c>
      <c r="K130" s="2">
        <v>165.4</v>
      </c>
      <c r="L130" s="2">
        <v>177.4</v>
      </c>
      <c r="M130" s="2">
        <v>111.3</v>
      </c>
      <c r="N130" s="2">
        <v>137.5</v>
      </c>
      <c r="O130" s="2">
        <v>125</v>
      </c>
      <c r="P130" s="2">
        <v>138.80000000000001</v>
      </c>
      <c r="Q130" s="2">
        <v>138.4</v>
      </c>
      <c r="R130" s="2">
        <v>139.30000000000001</v>
      </c>
      <c r="S130" s="2">
        <v>133.5</v>
      </c>
      <c r="T130" s="2">
        <v>127.6</v>
      </c>
      <c r="U130" s="2">
        <v>132.69999999999999</v>
      </c>
      <c r="V130" s="2">
        <v>106.6</v>
      </c>
      <c r="W130" s="2">
        <v>123.4</v>
      </c>
      <c r="X130" s="2">
        <v>126.9</v>
      </c>
      <c r="Y130" s="2">
        <v>124.5</v>
      </c>
      <c r="Z130" s="2">
        <v>113.9</v>
      </c>
      <c r="AA130" s="2">
        <v>122.4</v>
      </c>
      <c r="AB130" s="2">
        <v>130.80000000000001</v>
      </c>
      <c r="AC130" s="2">
        <v>120.5</v>
      </c>
      <c r="AD130" s="2">
        <v>121.9</v>
      </c>
      <c r="AE130" s="2">
        <v>131.1</v>
      </c>
      <c r="AG130" s="20">
        <f t="shared" si="4"/>
        <v>137.19230769230768</v>
      </c>
      <c r="AH130" s="2">
        <v>139.30000000000001</v>
      </c>
      <c r="AI130" s="20">
        <f t="shared" si="5"/>
        <v>118.96666666666665</v>
      </c>
      <c r="AJ130" s="20">
        <f t="shared" si="6"/>
        <v>131.26666666666668</v>
      </c>
      <c r="AK130" s="20">
        <f t="shared" si="7"/>
        <v>122.33333333333333</v>
      </c>
    </row>
    <row r="131" spans="1:37" ht="15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130.1</v>
      </c>
      <c r="F131" s="2">
        <v>138.80000000000001</v>
      </c>
      <c r="G131" s="2">
        <v>130.30000000000001</v>
      </c>
      <c r="H131" s="2">
        <v>135.30000000000001</v>
      </c>
      <c r="I131" s="2">
        <v>119.9</v>
      </c>
      <c r="J131" s="2">
        <v>140.19999999999999</v>
      </c>
      <c r="K131" s="2">
        <v>156.9</v>
      </c>
      <c r="L131" s="2">
        <v>172.2</v>
      </c>
      <c r="M131" s="2">
        <v>112.1</v>
      </c>
      <c r="N131" s="2">
        <v>134.9</v>
      </c>
      <c r="O131" s="2">
        <v>128.1</v>
      </c>
      <c r="P131" s="2">
        <v>140.69999999999999</v>
      </c>
      <c r="Q131" s="2">
        <v>138</v>
      </c>
      <c r="R131" s="2">
        <v>138.9</v>
      </c>
      <c r="S131" s="2">
        <v>137.80000000000001</v>
      </c>
      <c r="T131" s="2">
        <v>133</v>
      </c>
      <c r="U131" s="2">
        <v>137.1</v>
      </c>
      <c r="V131" s="2">
        <f>VLOOKUP($A131,'Impute housing Missing Value'!$A$1:$C$125,3,0)</f>
        <v>127.3</v>
      </c>
      <c r="W131" s="2">
        <v>129.1</v>
      </c>
      <c r="X131" s="2">
        <v>130.6</v>
      </c>
      <c r="Y131" s="2">
        <v>127</v>
      </c>
      <c r="Z131" s="2">
        <v>116</v>
      </c>
      <c r="AA131" s="2">
        <v>125.5</v>
      </c>
      <c r="AB131" s="2">
        <v>131.9</v>
      </c>
      <c r="AC131" s="2">
        <v>122</v>
      </c>
      <c r="AD131" s="2">
        <v>124.2</v>
      </c>
      <c r="AE131" s="2">
        <v>133.5</v>
      </c>
      <c r="AG131" s="20">
        <f t="shared" ref="AG131:AG194" si="8">AVERAGE(E131:Q131)</f>
        <v>136.73076923076923</v>
      </c>
      <c r="AH131" s="2">
        <v>138.9</v>
      </c>
      <c r="AI131" s="20">
        <f t="shared" ref="AI131:AI194" si="9">AVERAGE(V131:X131)</f>
        <v>129</v>
      </c>
      <c r="AJ131" s="20">
        <f t="shared" ref="AJ131:AJ194" si="10">AVERAGE(S131:U131)</f>
        <v>135.96666666666667</v>
      </c>
      <c r="AK131" s="20">
        <f t="shared" ref="AK131:AK194" si="11">AVERAGE(Y131:AD131)</f>
        <v>124.43333333333334</v>
      </c>
    </row>
    <row r="132" spans="1:37" ht="15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127.6</v>
      </c>
      <c r="F132" s="2">
        <v>140.30000000000001</v>
      </c>
      <c r="G132" s="2">
        <v>133.69999999999999</v>
      </c>
      <c r="H132" s="2">
        <v>132.19999999999999</v>
      </c>
      <c r="I132" s="2">
        <v>111.8</v>
      </c>
      <c r="J132" s="2">
        <v>135.80000000000001</v>
      </c>
      <c r="K132" s="2">
        <v>163.5</v>
      </c>
      <c r="L132" s="2">
        <v>182.3</v>
      </c>
      <c r="M132" s="2">
        <v>114.6</v>
      </c>
      <c r="N132" s="2">
        <v>144.6</v>
      </c>
      <c r="O132" s="2">
        <v>121.9</v>
      </c>
      <c r="P132" s="2">
        <v>138.1</v>
      </c>
      <c r="Q132" s="2">
        <v>137.6</v>
      </c>
      <c r="R132" s="2">
        <v>143.6</v>
      </c>
      <c r="S132" s="2">
        <v>128.30000000000001</v>
      </c>
      <c r="T132" s="2">
        <v>121.4</v>
      </c>
      <c r="U132" s="2">
        <v>127.3</v>
      </c>
      <c r="V132" s="2">
        <v>108.9</v>
      </c>
      <c r="W132" s="2">
        <v>114.7</v>
      </c>
      <c r="X132" s="2">
        <v>123.9</v>
      </c>
      <c r="Y132" s="2">
        <v>121.2</v>
      </c>
      <c r="Z132" s="2">
        <v>110.4</v>
      </c>
      <c r="AA132" s="2">
        <v>120.6</v>
      </c>
      <c r="AB132" s="2">
        <v>131.5</v>
      </c>
      <c r="AC132" s="2">
        <v>120.9</v>
      </c>
      <c r="AD132" s="2">
        <v>119.9</v>
      </c>
      <c r="AE132" s="2">
        <v>128.4</v>
      </c>
      <c r="AG132" s="20">
        <f t="shared" si="8"/>
        <v>137.2307692307692</v>
      </c>
      <c r="AH132" s="2">
        <v>143.6</v>
      </c>
      <c r="AI132" s="20">
        <f t="shared" si="9"/>
        <v>115.83333333333333</v>
      </c>
      <c r="AJ132" s="20">
        <f t="shared" si="10"/>
        <v>125.66666666666667</v>
      </c>
      <c r="AK132" s="20">
        <f t="shared" si="11"/>
        <v>120.75</v>
      </c>
    </row>
    <row r="133" spans="1:37" ht="26.5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129.30000000000001</v>
      </c>
      <c r="F133" s="2">
        <v>139.30000000000001</v>
      </c>
      <c r="G133" s="2">
        <v>131.6</v>
      </c>
      <c r="H133" s="2">
        <v>134.1</v>
      </c>
      <c r="I133" s="2">
        <v>116.9</v>
      </c>
      <c r="J133" s="2">
        <v>138.1</v>
      </c>
      <c r="K133" s="2">
        <v>159.1</v>
      </c>
      <c r="L133" s="2">
        <v>175.6</v>
      </c>
      <c r="M133" s="2">
        <v>112.9</v>
      </c>
      <c r="N133" s="2">
        <v>138.1</v>
      </c>
      <c r="O133" s="2">
        <v>125.5</v>
      </c>
      <c r="P133" s="2">
        <v>139.5</v>
      </c>
      <c r="Q133" s="2">
        <v>137.9</v>
      </c>
      <c r="R133" s="2">
        <v>140.19999999999999</v>
      </c>
      <c r="S133" s="2">
        <v>134.1</v>
      </c>
      <c r="T133" s="2">
        <v>128.19999999999999</v>
      </c>
      <c r="U133" s="2">
        <v>133.19999999999999</v>
      </c>
      <c r="V133" s="2">
        <v>109.7</v>
      </c>
      <c r="W133" s="2">
        <v>123.6</v>
      </c>
      <c r="X133" s="2">
        <v>127.4</v>
      </c>
      <c r="Y133" s="2">
        <v>124.8</v>
      </c>
      <c r="Z133" s="2">
        <v>113.1</v>
      </c>
      <c r="AA133" s="2">
        <v>122.7</v>
      </c>
      <c r="AB133" s="2">
        <v>131.69999999999999</v>
      </c>
      <c r="AC133" s="2">
        <v>121.5</v>
      </c>
      <c r="AD133" s="2">
        <v>122.1</v>
      </c>
      <c r="AE133" s="2">
        <v>131.1</v>
      </c>
      <c r="AG133" s="20">
        <f t="shared" si="8"/>
        <v>136.76153846153846</v>
      </c>
      <c r="AH133" s="2">
        <v>140.19999999999999</v>
      </c>
      <c r="AI133" s="20">
        <f t="shared" si="9"/>
        <v>120.23333333333335</v>
      </c>
      <c r="AJ133" s="20">
        <f t="shared" si="10"/>
        <v>131.83333333333331</v>
      </c>
      <c r="AK133" s="20">
        <f t="shared" si="11"/>
        <v>122.64999999999999</v>
      </c>
    </row>
    <row r="134" spans="1:37" ht="26.5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130.80000000000001</v>
      </c>
      <c r="F134" s="2">
        <v>138.19999999999999</v>
      </c>
      <c r="G134" s="2">
        <v>130.5</v>
      </c>
      <c r="H134" s="2">
        <v>135.5</v>
      </c>
      <c r="I134" s="2">
        <v>120.2</v>
      </c>
      <c r="J134" s="2">
        <v>139.19999999999999</v>
      </c>
      <c r="K134" s="2">
        <v>149.5</v>
      </c>
      <c r="L134" s="2">
        <v>170.4</v>
      </c>
      <c r="M134" s="2">
        <v>113.1</v>
      </c>
      <c r="N134" s="2">
        <v>135.80000000000001</v>
      </c>
      <c r="O134" s="2">
        <v>128.80000000000001</v>
      </c>
      <c r="P134" s="2">
        <v>141.5</v>
      </c>
      <c r="Q134" s="2">
        <v>137.19999999999999</v>
      </c>
      <c r="R134" s="2">
        <v>139.9</v>
      </c>
      <c r="S134" s="2">
        <v>138.5</v>
      </c>
      <c r="T134" s="2">
        <v>133.5</v>
      </c>
      <c r="U134" s="2">
        <v>137.80000000000001</v>
      </c>
      <c r="V134" s="2">
        <f>VLOOKUP($A134,'Impute housing Missing Value'!$A$1:$C$125,3,0)</f>
        <v>127.9</v>
      </c>
      <c r="W134" s="2">
        <v>129.69999999999999</v>
      </c>
      <c r="X134" s="2">
        <v>131.1</v>
      </c>
      <c r="Y134" s="2">
        <v>127.8</v>
      </c>
      <c r="Z134" s="2">
        <v>117</v>
      </c>
      <c r="AA134" s="2">
        <v>125.7</v>
      </c>
      <c r="AB134" s="2">
        <v>132.19999999999999</v>
      </c>
      <c r="AC134" s="2">
        <v>122.8</v>
      </c>
      <c r="AD134" s="2">
        <v>124.9</v>
      </c>
      <c r="AE134" s="2">
        <v>133.4</v>
      </c>
      <c r="AG134" s="20">
        <f t="shared" si="8"/>
        <v>136.2076923076923</v>
      </c>
      <c r="AH134" s="2">
        <v>139.9</v>
      </c>
      <c r="AI134" s="20">
        <f t="shared" si="9"/>
        <v>129.56666666666669</v>
      </c>
      <c r="AJ134" s="20">
        <f t="shared" si="10"/>
        <v>136.6</v>
      </c>
      <c r="AK134" s="20">
        <f t="shared" si="11"/>
        <v>125.06666666666666</v>
      </c>
    </row>
    <row r="135" spans="1:37" ht="26.5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128.1</v>
      </c>
      <c r="F135" s="2">
        <v>137.69999999999999</v>
      </c>
      <c r="G135" s="2">
        <v>130.6</v>
      </c>
      <c r="H135" s="2">
        <v>132.6</v>
      </c>
      <c r="I135" s="2">
        <v>111.9</v>
      </c>
      <c r="J135" s="2">
        <v>132.5</v>
      </c>
      <c r="K135" s="2">
        <v>152.9</v>
      </c>
      <c r="L135" s="2">
        <v>173.6</v>
      </c>
      <c r="M135" s="2">
        <v>115.1</v>
      </c>
      <c r="N135" s="2">
        <v>144.80000000000001</v>
      </c>
      <c r="O135" s="2">
        <v>122.1</v>
      </c>
      <c r="P135" s="2">
        <v>138.80000000000001</v>
      </c>
      <c r="Q135" s="2">
        <v>135.69999999999999</v>
      </c>
      <c r="R135" s="2">
        <v>143.9</v>
      </c>
      <c r="S135" s="2">
        <v>128.69999999999999</v>
      </c>
      <c r="T135" s="2">
        <v>121.6</v>
      </c>
      <c r="U135" s="2">
        <v>127.7</v>
      </c>
      <c r="V135" s="2">
        <v>111.1</v>
      </c>
      <c r="W135" s="2">
        <v>114.8</v>
      </c>
      <c r="X135" s="2">
        <v>124.3</v>
      </c>
      <c r="Y135" s="2">
        <v>121.4</v>
      </c>
      <c r="Z135" s="2">
        <v>111.8</v>
      </c>
      <c r="AA135" s="2">
        <v>120.8</v>
      </c>
      <c r="AB135" s="2">
        <v>131.6</v>
      </c>
      <c r="AC135" s="2">
        <v>121.2</v>
      </c>
      <c r="AD135" s="2">
        <v>120.5</v>
      </c>
      <c r="AE135" s="2">
        <v>128</v>
      </c>
      <c r="AG135" s="20">
        <f t="shared" si="8"/>
        <v>135.10769230769228</v>
      </c>
      <c r="AH135" s="2">
        <v>143.9</v>
      </c>
      <c r="AI135" s="20">
        <f t="shared" si="9"/>
        <v>116.73333333333333</v>
      </c>
      <c r="AJ135" s="20">
        <f t="shared" si="10"/>
        <v>126</v>
      </c>
      <c r="AK135" s="20">
        <f t="shared" si="11"/>
        <v>121.21666666666668</v>
      </c>
    </row>
    <row r="136" spans="1:37" ht="26.5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129.9</v>
      </c>
      <c r="F136" s="2">
        <v>138</v>
      </c>
      <c r="G136" s="2">
        <v>130.5</v>
      </c>
      <c r="H136" s="2">
        <v>134.4</v>
      </c>
      <c r="I136" s="2">
        <v>117.2</v>
      </c>
      <c r="J136" s="2">
        <v>136.1</v>
      </c>
      <c r="K136" s="2">
        <v>150.69999999999999</v>
      </c>
      <c r="L136" s="2">
        <v>171.5</v>
      </c>
      <c r="M136" s="2">
        <v>113.8</v>
      </c>
      <c r="N136" s="2">
        <v>138.80000000000001</v>
      </c>
      <c r="O136" s="2">
        <v>126</v>
      </c>
      <c r="P136" s="2">
        <v>140.19999999999999</v>
      </c>
      <c r="Q136" s="2">
        <v>136.6</v>
      </c>
      <c r="R136" s="2">
        <v>141</v>
      </c>
      <c r="S136" s="2">
        <v>134.6</v>
      </c>
      <c r="T136" s="2">
        <v>128.6</v>
      </c>
      <c r="U136" s="2">
        <v>133.80000000000001</v>
      </c>
      <c r="V136" s="2">
        <v>110.7</v>
      </c>
      <c r="W136" s="2">
        <v>124.1</v>
      </c>
      <c r="X136" s="2">
        <v>127.9</v>
      </c>
      <c r="Y136" s="2">
        <v>125.4</v>
      </c>
      <c r="Z136" s="2">
        <v>114.3</v>
      </c>
      <c r="AA136" s="2">
        <v>122.9</v>
      </c>
      <c r="AB136" s="2">
        <v>131.80000000000001</v>
      </c>
      <c r="AC136" s="2">
        <v>122.1</v>
      </c>
      <c r="AD136" s="2">
        <v>122.8</v>
      </c>
      <c r="AE136" s="2">
        <v>130.9</v>
      </c>
      <c r="AG136" s="20">
        <f t="shared" si="8"/>
        <v>135.66923076923075</v>
      </c>
      <c r="AH136" s="2">
        <v>141</v>
      </c>
      <c r="AI136" s="20">
        <f t="shared" si="9"/>
        <v>120.90000000000002</v>
      </c>
      <c r="AJ136" s="20">
        <f t="shared" si="10"/>
        <v>132.33333333333334</v>
      </c>
      <c r="AK136" s="20">
        <f t="shared" si="11"/>
        <v>123.21666666666665</v>
      </c>
    </row>
    <row r="137" spans="1:37" ht="15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131.30000000000001</v>
      </c>
      <c r="F137" s="2">
        <v>137.6</v>
      </c>
      <c r="G137" s="2">
        <v>130.1</v>
      </c>
      <c r="H137" s="2">
        <v>136</v>
      </c>
      <c r="I137" s="2">
        <v>120.8</v>
      </c>
      <c r="J137" s="2">
        <v>138.4</v>
      </c>
      <c r="K137" s="2">
        <v>149.19999999999999</v>
      </c>
      <c r="L137" s="2">
        <v>170.2</v>
      </c>
      <c r="M137" s="2">
        <v>113.4</v>
      </c>
      <c r="N137" s="2">
        <v>136.30000000000001</v>
      </c>
      <c r="O137" s="2">
        <v>128.69999999999999</v>
      </c>
      <c r="P137" s="2">
        <v>142.4</v>
      </c>
      <c r="Q137" s="2">
        <v>137.4</v>
      </c>
      <c r="R137" s="2">
        <v>140.9</v>
      </c>
      <c r="S137" s="2">
        <v>139.6</v>
      </c>
      <c r="T137" s="2">
        <v>134.30000000000001</v>
      </c>
      <c r="U137" s="2">
        <v>138.80000000000001</v>
      </c>
      <c r="V137" s="2">
        <f>VLOOKUP($A137,'Impute housing Missing Value'!$A$1:$C$125,3,0)</f>
        <v>128.69999999999999</v>
      </c>
      <c r="W137" s="2">
        <v>129.80000000000001</v>
      </c>
      <c r="X137" s="2">
        <v>131.80000000000001</v>
      </c>
      <c r="Y137" s="2">
        <v>128.69999999999999</v>
      </c>
      <c r="Z137" s="2">
        <v>117.8</v>
      </c>
      <c r="AA137" s="2">
        <v>126.5</v>
      </c>
      <c r="AB137" s="2">
        <v>133</v>
      </c>
      <c r="AC137" s="2">
        <v>123</v>
      </c>
      <c r="AD137" s="2">
        <v>125.7</v>
      </c>
      <c r="AE137" s="2">
        <v>133.80000000000001</v>
      </c>
      <c r="AG137" s="20">
        <f t="shared" si="8"/>
        <v>136.2923076923077</v>
      </c>
      <c r="AH137" s="2">
        <v>140.9</v>
      </c>
      <c r="AI137" s="20">
        <f t="shared" si="9"/>
        <v>130.1</v>
      </c>
      <c r="AJ137" s="20">
        <f t="shared" si="10"/>
        <v>137.56666666666666</v>
      </c>
      <c r="AK137" s="20">
        <f t="shared" si="11"/>
        <v>125.78333333333335</v>
      </c>
    </row>
    <row r="138" spans="1:37" ht="15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128.69999999999999</v>
      </c>
      <c r="F138" s="2">
        <v>138.4</v>
      </c>
      <c r="G138" s="2">
        <v>130.30000000000001</v>
      </c>
      <c r="H138" s="2">
        <v>132.69999999999999</v>
      </c>
      <c r="I138" s="2">
        <v>112.5</v>
      </c>
      <c r="J138" s="2">
        <v>130.4</v>
      </c>
      <c r="K138" s="2">
        <v>155.1</v>
      </c>
      <c r="L138" s="2">
        <v>175.7</v>
      </c>
      <c r="M138" s="2">
        <v>115.4</v>
      </c>
      <c r="N138" s="2">
        <v>145.30000000000001</v>
      </c>
      <c r="O138" s="2">
        <v>122.5</v>
      </c>
      <c r="P138" s="2">
        <v>139.6</v>
      </c>
      <c r="Q138" s="2">
        <v>136.30000000000001</v>
      </c>
      <c r="R138" s="2">
        <v>144.30000000000001</v>
      </c>
      <c r="S138" s="2">
        <v>129.1</v>
      </c>
      <c r="T138" s="2">
        <v>121.9</v>
      </c>
      <c r="U138" s="2">
        <v>128</v>
      </c>
      <c r="V138" s="2">
        <v>112.5</v>
      </c>
      <c r="W138" s="2">
        <v>115.2</v>
      </c>
      <c r="X138" s="2">
        <v>124.5</v>
      </c>
      <c r="Y138" s="2">
        <v>121.8</v>
      </c>
      <c r="Z138" s="2">
        <v>112.8</v>
      </c>
      <c r="AA138" s="2">
        <v>121.2</v>
      </c>
      <c r="AB138" s="2">
        <v>131.9</v>
      </c>
      <c r="AC138" s="2">
        <v>120.8</v>
      </c>
      <c r="AD138" s="2">
        <v>120.9</v>
      </c>
      <c r="AE138" s="2">
        <v>128.6</v>
      </c>
      <c r="AG138" s="20">
        <f t="shared" si="8"/>
        <v>135.6076923076923</v>
      </c>
      <c r="AH138" s="2">
        <v>144.30000000000001</v>
      </c>
      <c r="AI138" s="20">
        <f t="shared" si="9"/>
        <v>117.39999999999999</v>
      </c>
      <c r="AJ138" s="20">
        <f t="shared" si="10"/>
        <v>126.33333333333333</v>
      </c>
      <c r="AK138" s="20">
        <f t="shared" si="11"/>
        <v>121.56666666666666</v>
      </c>
    </row>
    <row r="139" spans="1:37" ht="26.5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130.5</v>
      </c>
      <c r="F139" s="2">
        <v>137.9</v>
      </c>
      <c r="G139" s="2">
        <v>130.19999999999999</v>
      </c>
      <c r="H139" s="2">
        <v>134.80000000000001</v>
      </c>
      <c r="I139" s="2">
        <v>117.8</v>
      </c>
      <c r="J139" s="2">
        <v>134.69999999999999</v>
      </c>
      <c r="K139" s="2">
        <v>151.19999999999999</v>
      </c>
      <c r="L139" s="2">
        <v>172.1</v>
      </c>
      <c r="M139" s="2">
        <v>114.1</v>
      </c>
      <c r="N139" s="2">
        <v>139.30000000000001</v>
      </c>
      <c r="O139" s="2">
        <v>126.1</v>
      </c>
      <c r="P139" s="2">
        <v>141.1</v>
      </c>
      <c r="Q139" s="2">
        <v>137</v>
      </c>
      <c r="R139" s="2">
        <v>141.80000000000001</v>
      </c>
      <c r="S139" s="2">
        <v>135.5</v>
      </c>
      <c r="T139" s="2">
        <v>129.1</v>
      </c>
      <c r="U139" s="2">
        <v>134.5</v>
      </c>
      <c r="V139" s="2">
        <v>113.2</v>
      </c>
      <c r="W139" s="2">
        <v>124.3</v>
      </c>
      <c r="X139" s="2">
        <v>128.4</v>
      </c>
      <c r="Y139" s="2">
        <v>126.1</v>
      </c>
      <c r="Z139" s="2">
        <v>115.2</v>
      </c>
      <c r="AA139" s="2">
        <v>123.5</v>
      </c>
      <c r="AB139" s="2">
        <v>132.4</v>
      </c>
      <c r="AC139" s="2">
        <v>122.1</v>
      </c>
      <c r="AD139" s="2">
        <v>123.4</v>
      </c>
      <c r="AE139" s="2">
        <v>131.4</v>
      </c>
      <c r="AG139" s="20">
        <f t="shared" si="8"/>
        <v>135.90769230769226</v>
      </c>
      <c r="AH139" s="2">
        <v>141.80000000000001</v>
      </c>
      <c r="AI139" s="20">
        <f t="shared" si="9"/>
        <v>121.96666666666665</v>
      </c>
      <c r="AJ139" s="20">
        <f t="shared" si="10"/>
        <v>133.03333333333333</v>
      </c>
      <c r="AK139" s="20">
        <f t="shared" si="11"/>
        <v>123.78333333333335</v>
      </c>
    </row>
    <row r="140" spans="1:37" ht="26.5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132</v>
      </c>
      <c r="F140" s="2">
        <v>137.4</v>
      </c>
      <c r="G140" s="2">
        <v>130.6</v>
      </c>
      <c r="H140" s="2">
        <v>136.19999999999999</v>
      </c>
      <c r="I140" s="2">
        <v>121.1</v>
      </c>
      <c r="J140" s="2">
        <v>136.9</v>
      </c>
      <c r="K140" s="2">
        <v>141.80000000000001</v>
      </c>
      <c r="L140" s="2">
        <v>170</v>
      </c>
      <c r="M140" s="2">
        <v>113.4</v>
      </c>
      <c r="N140" s="2">
        <v>136.80000000000001</v>
      </c>
      <c r="O140" s="2">
        <v>128.69999999999999</v>
      </c>
      <c r="P140" s="2">
        <v>143.1</v>
      </c>
      <c r="Q140" s="2">
        <v>136.6</v>
      </c>
      <c r="R140" s="2">
        <v>141.19999999999999</v>
      </c>
      <c r="S140" s="2">
        <v>139.9</v>
      </c>
      <c r="T140" s="2">
        <v>134.5</v>
      </c>
      <c r="U140" s="2">
        <v>139.19999999999999</v>
      </c>
      <c r="V140" s="2">
        <f>VLOOKUP($A140,'Impute housing Missing Value'!$A$1:$C$125,3,0)</f>
        <v>129.1</v>
      </c>
      <c r="W140" s="2">
        <v>130.30000000000001</v>
      </c>
      <c r="X140" s="2">
        <v>132.1</v>
      </c>
      <c r="Y140" s="2">
        <v>129.1</v>
      </c>
      <c r="Z140" s="2">
        <v>118.2</v>
      </c>
      <c r="AA140" s="2">
        <v>126.9</v>
      </c>
      <c r="AB140" s="2">
        <v>133.69999999999999</v>
      </c>
      <c r="AC140" s="2">
        <v>123.5</v>
      </c>
      <c r="AD140" s="2">
        <v>126.1</v>
      </c>
      <c r="AE140" s="2">
        <v>133.6</v>
      </c>
      <c r="AG140" s="20">
        <f t="shared" si="8"/>
        <v>135.73846153846154</v>
      </c>
      <c r="AH140" s="2">
        <v>141.19999999999999</v>
      </c>
      <c r="AI140" s="20">
        <f t="shared" si="9"/>
        <v>130.5</v>
      </c>
      <c r="AJ140" s="20">
        <f t="shared" si="10"/>
        <v>137.86666666666665</v>
      </c>
      <c r="AK140" s="20">
        <f t="shared" si="11"/>
        <v>126.25000000000001</v>
      </c>
    </row>
    <row r="141" spans="1:37" ht="26.5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130.19999999999999</v>
      </c>
      <c r="F141" s="2">
        <v>138.5</v>
      </c>
      <c r="G141" s="2">
        <v>134.1</v>
      </c>
      <c r="H141" s="2">
        <v>132.9</v>
      </c>
      <c r="I141" s="2">
        <v>112.6</v>
      </c>
      <c r="J141" s="2">
        <v>130.80000000000001</v>
      </c>
      <c r="K141" s="2">
        <v>142</v>
      </c>
      <c r="L141" s="2">
        <v>174.9</v>
      </c>
      <c r="M141" s="2">
        <v>115.6</v>
      </c>
      <c r="N141" s="2">
        <v>145.4</v>
      </c>
      <c r="O141" s="2">
        <v>122.7</v>
      </c>
      <c r="P141" s="2">
        <v>140.30000000000001</v>
      </c>
      <c r="Q141" s="2">
        <v>135.19999999999999</v>
      </c>
      <c r="R141" s="2">
        <v>144.30000000000001</v>
      </c>
      <c r="S141" s="2">
        <v>129.6</v>
      </c>
      <c r="T141" s="2">
        <v>122.1</v>
      </c>
      <c r="U141" s="2">
        <v>128.5</v>
      </c>
      <c r="V141" s="2">
        <v>114.3</v>
      </c>
      <c r="W141" s="2">
        <v>116.2</v>
      </c>
      <c r="X141" s="2">
        <v>124.7</v>
      </c>
      <c r="Y141" s="2">
        <v>122.1</v>
      </c>
      <c r="Z141" s="2">
        <v>113.4</v>
      </c>
      <c r="AA141" s="2">
        <v>121.7</v>
      </c>
      <c r="AB141" s="2">
        <v>132.1</v>
      </c>
      <c r="AC141" s="2">
        <v>121.3</v>
      </c>
      <c r="AD141" s="2">
        <v>121.3</v>
      </c>
      <c r="AE141" s="2">
        <v>128.5</v>
      </c>
      <c r="AG141" s="20">
        <f t="shared" si="8"/>
        <v>135.01538461538462</v>
      </c>
      <c r="AH141" s="2">
        <v>144.30000000000001</v>
      </c>
      <c r="AI141" s="20">
        <f t="shared" si="9"/>
        <v>118.39999999999999</v>
      </c>
      <c r="AJ141" s="20">
        <f t="shared" si="10"/>
        <v>126.73333333333333</v>
      </c>
      <c r="AK141" s="20">
        <f t="shared" si="11"/>
        <v>121.98333333333331</v>
      </c>
    </row>
    <row r="142" spans="1:37" ht="26.5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131.4</v>
      </c>
      <c r="F142" s="2">
        <v>137.80000000000001</v>
      </c>
      <c r="G142" s="2">
        <v>132</v>
      </c>
      <c r="H142" s="2">
        <v>135</v>
      </c>
      <c r="I142" s="2">
        <v>118</v>
      </c>
      <c r="J142" s="2">
        <v>134.1</v>
      </c>
      <c r="K142" s="2">
        <v>141.9</v>
      </c>
      <c r="L142" s="2">
        <v>171.7</v>
      </c>
      <c r="M142" s="2">
        <v>114.1</v>
      </c>
      <c r="N142" s="2">
        <v>139.69999999999999</v>
      </c>
      <c r="O142" s="2">
        <v>126.2</v>
      </c>
      <c r="P142" s="2">
        <v>141.80000000000001</v>
      </c>
      <c r="Q142" s="2">
        <v>136.1</v>
      </c>
      <c r="R142" s="2">
        <v>142</v>
      </c>
      <c r="S142" s="2">
        <v>135.80000000000001</v>
      </c>
      <c r="T142" s="2">
        <v>129.30000000000001</v>
      </c>
      <c r="U142" s="2">
        <v>135</v>
      </c>
      <c r="V142" s="2">
        <v>113.9</v>
      </c>
      <c r="W142" s="2">
        <v>125</v>
      </c>
      <c r="X142" s="2">
        <v>128.6</v>
      </c>
      <c r="Y142" s="2">
        <v>126.4</v>
      </c>
      <c r="Z142" s="2">
        <v>115.7</v>
      </c>
      <c r="AA142" s="2">
        <v>124</v>
      </c>
      <c r="AB142" s="2">
        <v>132.80000000000001</v>
      </c>
      <c r="AC142" s="2">
        <v>122.6</v>
      </c>
      <c r="AD142" s="2">
        <v>123.8</v>
      </c>
      <c r="AE142" s="2">
        <v>131.19999999999999</v>
      </c>
      <c r="AG142" s="20">
        <f t="shared" si="8"/>
        <v>135.36923076923077</v>
      </c>
      <c r="AH142" s="2">
        <v>142</v>
      </c>
      <c r="AI142" s="20">
        <f t="shared" si="9"/>
        <v>122.5</v>
      </c>
      <c r="AJ142" s="20">
        <f t="shared" si="10"/>
        <v>133.36666666666667</v>
      </c>
      <c r="AK142" s="20">
        <f t="shared" si="11"/>
        <v>124.21666666666665</v>
      </c>
    </row>
    <row r="143" spans="1:37" ht="26.5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132.6</v>
      </c>
      <c r="F143" s="2">
        <v>137.30000000000001</v>
      </c>
      <c r="G143" s="2">
        <v>131.6</v>
      </c>
      <c r="H143" s="2">
        <v>136.30000000000001</v>
      </c>
      <c r="I143" s="2">
        <v>121.6</v>
      </c>
      <c r="J143" s="2">
        <v>135.6</v>
      </c>
      <c r="K143" s="2">
        <v>127.5</v>
      </c>
      <c r="L143" s="2">
        <v>167.9</v>
      </c>
      <c r="M143" s="2">
        <v>113.8</v>
      </c>
      <c r="N143" s="2">
        <v>137.5</v>
      </c>
      <c r="O143" s="2">
        <v>129.1</v>
      </c>
      <c r="P143" s="2">
        <v>143.6</v>
      </c>
      <c r="Q143" s="2">
        <v>134.69999999999999</v>
      </c>
      <c r="R143" s="2">
        <v>142.4</v>
      </c>
      <c r="S143" s="2">
        <v>140.4</v>
      </c>
      <c r="T143" s="2">
        <v>135.19999999999999</v>
      </c>
      <c r="U143" s="2">
        <v>139.69999999999999</v>
      </c>
      <c r="V143" s="2">
        <f>VLOOKUP($A143,'Impute housing Missing Value'!$A$1:$C$125,3,0)</f>
        <v>128.5</v>
      </c>
      <c r="W143" s="2">
        <v>132</v>
      </c>
      <c r="X143" s="2">
        <v>132.9</v>
      </c>
      <c r="Y143" s="2">
        <v>129.69999999999999</v>
      </c>
      <c r="Z143" s="2">
        <v>118.6</v>
      </c>
      <c r="AA143" s="2">
        <v>127.3</v>
      </c>
      <c r="AB143" s="2">
        <v>134.19999999999999</v>
      </c>
      <c r="AC143" s="2">
        <v>121.9</v>
      </c>
      <c r="AD143" s="2">
        <v>126.3</v>
      </c>
      <c r="AE143" s="2">
        <v>132.80000000000001</v>
      </c>
      <c r="AG143" s="20">
        <f t="shared" si="8"/>
        <v>134.54615384615383</v>
      </c>
      <c r="AH143" s="2">
        <v>142.4</v>
      </c>
      <c r="AI143" s="20">
        <f t="shared" si="9"/>
        <v>131.13333333333333</v>
      </c>
      <c r="AJ143" s="20">
        <f t="shared" si="10"/>
        <v>138.43333333333334</v>
      </c>
      <c r="AK143" s="20">
        <f t="shared" si="11"/>
        <v>126.33333333333331</v>
      </c>
    </row>
    <row r="144" spans="1:37" ht="26.5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131.6</v>
      </c>
      <c r="F144" s="2">
        <v>138.19999999999999</v>
      </c>
      <c r="G144" s="2">
        <v>134.9</v>
      </c>
      <c r="H144" s="2">
        <v>133.1</v>
      </c>
      <c r="I144" s="2">
        <v>113.5</v>
      </c>
      <c r="J144" s="2">
        <v>129.30000000000001</v>
      </c>
      <c r="K144" s="2">
        <v>121.1</v>
      </c>
      <c r="L144" s="2">
        <v>170.3</v>
      </c>
      <c r="M144" s="2">
        <v>115.5</v>
      </c>
      <c r="N144" s="2">
        <v>145.5</v>
      </c>
      <c r="O144" s="2">
        <v>123.1</v>
      </c>
      <c r="P144" s="2">
        <v>140.9</v>
      </c>
      <c r="Q144" s="2">
        <v>132.80000000000001</v>
      </c>
      <c r="R144" s="2">
        <v>145</v>
      </c>
      <c r="S144" s="2">
        <v>130</v>
      </c>
      <c r="T144" s="2">
        <v>122.2</v>
      </c>
      <c r="U144" s="2">
        <v>128.80000000000001</v>
      </c>
      <c r="V144" s="2">
        <v>115.5</v>
      </c>
      <c r="W144" s="2">
        <v>117.8</v>
      </c>
      <c r="X144" s="2">
        <v>125</v>
      </c>
      <c r="Y144" s="2">
        <v>122.3</v>
      </c>
      <c r="Z144" s="2">
        <v>113.7</v>
      </c>
      <c r="AA144" s="2">
        <v>121.8</v>
      </c>
      <c r="AB144" s="2">
        <v>132.30000000000001</v>
      </c>
      <c r="AC144" s="2">
        <v>119.9</v>
      </c>
      <c r="AD144" s="2">
        <v>121.4</v>
      </c>
      <c r="AE144" s="2">
        <v>127.6</v>
      </c>
      <c r="AG144" s="20">
        <f t="shared" si="8"/>
        <v>133.06153846153845</v>
      </c>
      <c r="AH144" s="2">
        <v>145</v>
      </c>
      <c r="AI144" s="20">
        <f t="shared" si="9"/>
        <v>119.43333333333334</v>
      </c>
      <c r="AJ144" s="20">
        <f t="shared" si="10"/>
        <v>127</v>
      </c>
      <c r="AK144" s="20">
        <f t="shared" si="11"/>
        <v>121.89999999999999</v>
      </c>
    </row>
    <row r="145" spans="1:37" ht="26.5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132.30000000000001</v>
      </c>
      <c r="F145" s="2">
        <v>137.6</v>
      </c>
      <c r="G145" s="2">
        <v>132.9</v>
      </c>
      <c r="H145" s="2">
        <v>135.1</v>
      </c>
      <c r="I145" s="2">
        <v>118.6</v>
      </c>
      <c r="J145" s="2">
        <v>132.69999999999999</v>
      </c>
      <c r="K145" s="2">
        <v>125.3</v>
      </c>
      <c r="L145" s="2">
        <v>168.7</v>
      </c>
      <c r="M145" s="2">
        <v>114.4</v>
      </c>
      <c r="N145" s="2">
        <v>140.19999999999999</v>
      </c>
      <c r="O145" s="2">
        <v>126.6</v>
      </c>
      <c r="P145" s="2">
        <v>142.30000000000001</v>
      </c>
      <c r="Q145" s="2">
        <v>134</v>
      </c>
      <c r="R145" s="2">
        <v>143.1</v>
      </c>
      <c r="S145" s="2">
        <v>136.30000000000001</v>
      </c>
      <c r="T145" s="2">
        <v>129.80000000000001</v>
      </c>
      <c r="U145" s="2">
        <v>135.4</v>
      </c>
      <c r="V145" s="2">
        <v>116.1</v>
      </c>
      <c r="W145" s="2">
        <v>126.6</v>
      </c>
      <c r="X145" s="2">
        <v>129.19999999999999</v>
      </c>
      <c r="Y145" s="2">
        <v>126.9</v>
      </c>
      <c r="Z145" s="2">
        <v>116</v>
      </c>
      <c r="AA145" s="2">
        <v>124.2</v>
      </c>
      <c r="AB145" s="2">
        <v>133.1</v>
      </c>
      <c r="AC145" s="2">
        <v>121.1</v>
      </c>
      <c r="AD145" s="2">
        <v>123.9</v>
      </c>
      <c r="AE145" s="2">
        <v>130.4</v>
      </c>
      <c r="AG145" s="20">
        <f t="shared" si="8"/>
        <v>133.9</v>
      </c>
      <c r="AH145" s="2">
        <v>143.1</v>
      </c>
      <c r="AI145" s="20">
        <f t="shared" si="9"/>
        <v>123.96666666666665</v>
      </c>
      <c r="AJ145" s="20">
        <f t="shared" si="10"/>
        <v>133.83333333333334</v>
      </c>
      <c r="AK145" s="20">
        <f t="shared" si="11"/>
        <v>124.2</v>
      </c>
    </row>
    <row r="146" spans="1:37" ht="15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133.1</v>
      </c>
      <c r="F146" s="2">
        <v>137.80000000000001</v>
      </c>
      <c r="G146" s="2">
        <v>131.9</v>
      </c>
      <c r="H146" s="2">
        <v>136.69999999999999</v>
      </c>
      <c r="I146" s="2">
        <v>122</v>
      </c>
      <c r="J146" s="2">
        <v>136</v>
      </c>
      <c r="K146" s="2">
        <v>119.8</v>
      </c>
      <c r="L146" s="2">
        <v>161.69999999999999</v>
      </c>
      <c r="M146" s="2">
        <v>114.8</v>
      </c>
      <c r="N146" s="2">
        <v>136.9</v>
      </c>
      <c r="O146" s="2">
        <v>129</v>
      </c>
      <c r="P146" s="2">
        <v>143.9</v>
      </c>
      <c r="Q146" s="2">
        <v>133.69999999999999</v>
      </c>
      <c r="R146" s="2">
        <v>143.1</v>
      </c>
      <c r="S146" s="2">
        <v>140.69999999999999</v>
      </c>
      <c r="T146" s="2">
        <v>135.80000000000001</v>
      </c>
      <c r="U146" s="2">
        <v>140</v>
      </c>
      <c r="V146" s="2">
        <f>VLOOKUP($A146,'Impute housing Missing Value'!$A$1:$C$125,3,0)</f>
        <v>129.6</v>
      </c>
      <c r="W146" s="2">
        <v>132.1</v>
      </c>
      <c r="X146" s="2">
        <v>133.19999999999999</v>
      </c>
      <c r="Y146" s="2">
        <v>129.9</v>
      </c>
      <c r="Z146" s="2">
        <v>119.1</v>
      </c>
      <c r="AA146" s="2">
        <v>127</v>
      </c>
      <c r="AB146" s="2">
        <v>134.6</v>
      </c>
      <c r="AC146" s="2">
        <v>122.3</v>
      </c>
      <c r="AD146" s="2">
        <v>126.6</v>
      </c>
      <c r="AE146" s="2">
        <v>132.4</v>
      </c>
      <c r="AG146" s="20">
        <f t="shared" si="8"/>
        <v>133.63846153846154</v>
      </c>
      <c r="AH146" s="2">
        <v>143.1</v>
      </c>
      <c r="AI146" s="20">
        <f t="shared" si="9"/>
        <v>131.63333333333333</v>
      </c>
      <c r="AJ146" s="20">
        <f t="shared" si="10"/>
        <v>138.83333333333334</v>
      </c>
      <c r="AK146" s="20">
        <f t="shared" si="11"/>
        <v>126.58333333333333</v>
      </c>
    </row>
    <row r="147" spans="1:37" ht="15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132.19999999999999</v>
      </c>
      <c r="F147" s="2">
        <v>138.9</v>
      </c>
      <c r="G147" s="2">
        <v>132.6</v>
      </c>
      <c r="H147" s="2">
        <v>133.1</v>
      </c>
      <c r="I147" s="2">
        <v>114</v>
      </c>
      <c r="J147" s="2">
        <v>129.6</v>
      </c>
      <c r="K147" s="2">
        <v>118.7</v>
      </c>
      <c r="L147" s="2">
        <v>155.1</v>
      </c>
      <c r="M147" s="2">
        <v>117.3</v>
      </c>
      <c r="N147" s="2">
        <v>144.9</v>
      </c>
      <c r="O147" s="2">
        <v>123.2</v>
      </c>
      <c r="P147" s="2">
        <v>141.6</v>
      </c>
      <c r="Q147" s="2">
        <v>132</v>
      </c>
      <c r="R147" s="2">
        <v>145.6</v>
      </c>
      <c r="S147" s="2">
        <v>130.19999999999999</v>
      </c>
      <c r="T147" s="2">
        <v>122.3</v>
      </c>
      <c r="U147" s="2">
        <v>129</v>
      </c>
      <c r="V147" s="2">
        <v>117.1</v>
      </c>
      <c r="W147" s="2">
        <v>118</v>
      </c>
      <c r="X147" s="2">
        <v>125.1</v>
      </c>
      <c r="Y147" s="2">
        <v>122.6</v>
      </c>
      <c r="Z147" s="2">
        <v>115.2</v>
      </c>
      <c r="AA147" s="2">
        <v>122</v>
      </c>
      <c r="AB147" s="2">
        <v>132.4</v>
      </c>
      <c r="AC147" s="2">
        <v>120.9</v>
      </c>
      <c r="AD147" s="2">
        <v>122.1</v>
      </c>
      <c r="AE147" s="2">
        <v>127.8</v>
      </c>
      <c r="AG147" s="20">
        <f t="shared" si="8"/>
        <v>131.78461538461539</v>
      </c>
      <c r="AH147" s="2">
        <v>145.6</v>
      </c>
      <c r="AI147" s="20">
        <f t="shared" si="9"/>
        <v>120.06666666666666</v>
      </c>
      <c r="AJ147" s="20">
        <f t="shared" si="10"/>
        <v>127.16666666666667</v>
      </c>
      <c r="AK147" s="20">
        <f t="shared" si="11"/>
        <v>122.53333333333335</v>
      </c>
    </row>
    <row r="148" spans="1:37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132.80000000000001</v>
      </c>
      <c r="F148" s="2">
        <v>138.19999999999999</v>
      </c>
      <c r="G148" s="2">
        <v>132.19999999999999</v>
      </c>
      <c r="H148" s="2">
        <v>135.4</v>
      </c>
      <c r="I148" s="2">
        <v>119.1</v>
      </c>
      <c r="J148" s="2">
        <v>133</v>
      </c>
      <c r="K148" s="2">
        <v>119.4</v>
      </c>
      <c r="L148" s="2">
        <v>159.5</v>
      </c>
      <c r="M148" s="2">
        <v>115.6</v>
      </c>
      <c r="N148" s="2">
        <v>139.6</v>
      </c>
      <c r="O148" s="2">
        <v>126.6</v>
      </c>
      <c r="P148" s="2">
        <v>142.80000000000001</v>
      </c>
      <c r="Q148" s="2">
        <v>133.1</v>
      </c>
      <c r="R148" s="2">
        <v>143.80000000000001</v>
      </c>
      <c r="S148" s="2">
        <v>136.6</v>
      </c>
      <c r="T148" s="2">
        <v>130.19999999999999</v>
      </c>
      <c r="U148" s="2">
        <v>135.6</v>
      </c>
      <c r="V148" s="2">
        <v>116.5</v>
      </c>
      <c r="W148" s="2">
        <v>126.8</v>
      </c>
      <c r="X148" s="2">
        <v>129.4</v>
      </c>
      <c r="Y148" s="2">
        <v>127.1</v>
      </c>
      <c r="Z148" s="2">
        <v>117</v>
      </c>
      <c r="AA148" s="2">
        <v>124.2</v>
      </c>
      <c r="AB148" s="2">
        <v>133.30000000000001</v>
      </c>
      <c r="AC148" s="2">
        <v>121.7</v>
      </c>
      <c r="AD148" s="2">
        <v>124.4</v>
      </c>
      <c r="AE148" s="2">
        <v>130.30000000000001</v>
      </c>
      <c r="AG148" s="20">
        <f t="shared" si="8"/>
        <v>132.86923076923074</v>
      </c>
      <c r="AH148" s="2">
        <v>143.80000000000001</v>
      </c>
      <c r="AI148" s="20">
        <f t="shared" si="9"/>
        <v>124.23333333333335</v>
      </c>
      <c r="AJ148" s="20">
        <f t="shared" si="10"/>
        <v>134.13333333333333</v>
      </c>
      <c r="AK148" s="20">
        <f t="shared" si="11"/>
        <v>124.61666666666667</v>
      </c>
    </row>
    <row r="149" spans="1:37" ht="15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133.30000000000001</v>
      </c>
      <c r="F149" s="2">
        <v>138.30000000000001</v>
      </c>
      <c r="G149" s="2">
        <v>129.30000000000001</v>
      </c>
      <c r="H149" s="2">
        <v>137.19999999999999</v>
      </c>
      <c r="I149" s="2">
        <v>122.1</v>
      </c>
      <c r="J149" s="2">
        <v>138.69999999999999</v>
      </c>
      <c r="K149" s="2">
        <v>119.1</v>
      </c>
      <c r="L149" s="2">
        <v>156.9</v>
      </c>
      <c r="M149" s="2">
        <v>116.2</v>
      </c>
      <c r="N149" s="2">
        <v>136</v>
      </c>
      <c r="O149" s="2">
        <v>129.4</v>
      </c>
      <c r="P149" s="2">
        <v>144.4</v>
      </c>
      <c r="Q149" s="2">
        <v>133.6</v>
      </c>
      <c r="R149" s="2">
        <v>143.69999999999999</v>
      </c>
      <c r="S149" s="2">
        <v>140.9</v>
      </c>
      <c r="T149" s="2">
        <v>135.80000000000001</v>
      </c>
      <c r="U149" s="2">
        <v>140.19999999999999</v>
      </c>
      <c r="V149" s="2">
        <f>VLOOKUP($A149,'Impute housing Missing Value'!$A$1:$C$125,3,0)</f>
        <v>130.5</v>
      </c>
      <c r="W149" s="2">
        <v>133.19999999999999</v>
      </c>
      <c r="X149" s="2">
        <v>133.6</v>
      </c>
      <c r="Y149" s="2">
        <v>130.1</v>
      </c>
      <c r="Z149" s="2">
        <v>119.5</v>
      </c>
      <c r="AA149" s="2">
        <v>127.7</v>
      </c>
      <c r="AB149" s="2">
        <v>134.9</v>
      </c>
      <c r="AC149" s="2">
        <v>123.2</v>
      </c>
      <c r="AD149" s="2">
        <v>127</v>
      </c>
      <c r="AE149" s="2">
        <v>132.6</v>
      </c>
      <c r="AG149" s="20">
        <f t="shared" si="8"/>
        <v>133.42307692307693</v>
      </c>
      <c r="AH149" s="2">
        <v>143.69999999999999</v>
      </c>
      <c r="AI149" s="20">
        <f t="shared" si="9"/>
        <v>132.43333333333331</v>
      </c>
      <c r="AJ149" s="20">
        <f t="shared" si="10"/>
        <v>138.96666666666667</v>
      </c>
      <c r="AK149" s="20">
        <f t="shared" si="11"/>
        <v>127.06666666666668</v>
      </c>
    </row>
    <row r="150" spans="1:37" ht="15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132.80000000000001</v>
      </c>
      <c r="F150" s="2">
        <v>139.80000000000001</v>
      </c>
      <c r="G150" s="2">
        <v>129.30000000000001</v>
      </c>
      <c r="H150" s="2">
        <v>133.5</v>
      </c>
      <c r="I150" s="2">
        <v>114.3</v>
      </c>
      <c r="J150" s="2">
        <v>131.4</v>
      </c>
      <c r="K150" s="2">
        <v>120.2</v>
      </c>
      <c r="L150" s="2">
        <v>143.1</v>
      </c>
      <c r="M150" s="2">
        <v>119.5</v>
      </c>
      <c r="N150" s="2">
        <v>144</v>
      </c>
      <c r="O150" s="2">
        <v>123.4</v>
      </c>
      <c r="P150" s="2">
        <v>141.9</v>
      </c>
      <c r="Q150" s="2">
        <v>132.1</v>
      </c>
      <c r="R150" s="2">
        <v>146.30000000000001</v>
      </c>
      <c r="S150" s="2">
        <v>130.5</v>
      </c>
      <c r="T150" s="2">
        <v>122.5</v>
      </c>
      <c r="U150" s="2">
        <v>129.30000000000001</v>
      </c>
      <c r="V150" s="2">
        <v>118.1</v>
      </c>
      <c r="W150" s="2">
        <v>119.2</v>
      </c>
      <c r="X150" s="2">
        <v>125.3</v>
      </c>
      <c r="Y150" s="2">
        <v>122.9</v>
      </c>
      <c r="Z150" s="2">
        <v>115.5</v>
      </c>
      <c r="AA150" s="2">
        <v>122.2</v>
      </c>
      <c r="AB150" s="2">
        <v>132.4</v>
      </c>
      <c r="AC150" s="2">
        <v>121.7</v>
      </c>
      <c r="AD150" s="2">
        <v>122.4</v>
      </c>
      <c r="AE150" s="2">
        <v>128.19999999999999</v>
      </c>
      <c r="AG150" s="20">
        <f t="shared" si="8"/>
        <v>131.17692307692309</v>
      </c>
      <c r="AH150" s="2">
        <v>146.30000000000001</v>
      </c>
      <c r="AI150" s="20">
        <f t="shared" si="9"/>
        <v>120.86666666666667</v>
      </c>
      <c r="AJ150" s="20">
        <f t="shared" si="10"/>
        <v>127.43333333333334</v>
      </c>
      <c r="AK150" s="20">
        <f t="shared" si="11"/>
        <v>122.85000000000001</v>
      </c>
    </row>
    <row r="151" spans="1:37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133.1</v>
      </c>
      <c r="F151" s="2">
        <v>138.80000000000001</v>
      </c>
      <c r="G151" s="2">
        <v>129.30000000000001</v>
      </c>
      <c r="H151" s="2">
        <v>135.80000000000001</v>
      </c>
      <c r="I151" s="2">
        <v>119.2</v>
      </c>
      <c r="J151" s="2">
        <v>135.30000000000001</v>
      </c>
      <c r="K151" s="2">
        <v>119.5</v>
      </c>
      <c r="L151" s="2">
        <v>152.19999999999999</v>
      </c>
      <c r="M151" s="2">
        <v>117.3</v>
      </c>
      <c r="N151" s="2">
        <v>138.69999999999999</v>
      </c>
      <c r="O151" s="2">
        <v>126.9</v>
      </c>
      <c r="P151" s="2">
        <v>143.19999999999999</v>
      </c>
      <c r="Q151" s="2">
        <v>133</v>
      </c>
      <c r="R151" s="2">
        <v>144.4</v>
      </c>
      <c r="S151" s="2">
        <v>136.80000000000001</v>
      </c>
      <c r="T151" s="2">
        <v>130.30000000000001</v>
      </c>
      <c r="U151" s="2">
        <v>135.9</v>
      </c>
      <c r="V151" s="2">
        <v>118.6</v>
      </c>
      <c r="W151" s="2">
        <v>127.9</v>
      </c>
      <c r="X151" s="2">
        <v>129.69999999999999</v>
      </c>
      <c r="Y151" s="2">
        <v>127.4</v>
      </c>
      <c r="Z151" s="2">
        <v>117.4</v>
      </c>
      <c r="AA151" s="2">
        <v>124.6</v>
      </c>
      <c r="AB151" s="2">
        <v>133.4</v>
      </c>
      <c r="AC151" s="2">
        <v>122.6</v>
      </c>
      <c r="AD151" s="2">
        <v>124.8</v>
      </c>
      <c r="AE151" s="2">
        <v>130.6</v>
      </c>
      <c r="AG151" s="20">
        <f t="shared" si="8"/>
        <v>132.48461538461541</v>
      </c>
      <c r="AH151" s="2">
        <v>144.4</v>
      </c>
      <c r="AI151" s="20">
        <f t="shared" si="9"/>
        <v>125.39999999999999</v>
      </c>
      <c r="AJ151" s="20">
        <f t="shared" si="10"/>
        <v>134.33333333333334</v>
      </c>
      <c r="AK151" s="20">
        <f t="shared" si="11"/>
        <v>125.03333333333332</v>
      </c>
    </row>
    <row r="152" spans="1:37" ht="15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133.6</v>
      </c>
      <c r="F152" s="2">
        <v>138.80000000000001</v>
      </c>
      <c r="G152" s="2">
        <v>128.80000000000001</v>
      </c>
      <c r="H152" s="2">
        <v>137.19999999999999</v>
      </c>
      <c r="I152" s="2">
        <v>121.6</v>
      </c>
      <c r="J152" s="2">
        <v>139.69999999999999</v>
      </c>
      <c r="K152" s="2">
        <v>119.7</v>
      </c>
      <c r="L152" s="2">
        <v>148</v>
      </c>
      <c r="M152" s="2">
        <v>116.9</v>
      </c>
      <c r="N152" s="2">
        <v>135.6</v>
      </c>
      <c r="O152" s="2">
        <v>129.80000000000001</v>
      </c>
      <c r="P152" s="2">
        <v>145.4</v>
      </c>
      <c r="Q152" s="2">
        <v>133.4</v>
      </c>
      <c r="R152" s="2">
        <v>144.19999999999999</v>
      </c>
      <c r="S152" s="2">
        <v>141.6</v>
      </c>
      <c r="T152" s="2">
        <v>136.19999999999999</v>
      </c>
      <c r="U152" s="2">
        <v>140.80000000000001</v>
      </c>
      <c r="V152" s="2">
        <f>VLOOKUP($A152,'Impute housing Missing Value'!$A$1:$C$125,3,0)</f>
        <v>131.1</v>
      </c>
      <c r="W152" s="2">
        <v>134.19999999999999</v>
      </c>
      <c r="X152" s="2">
        <v>134.1</v>
      </c>
      <c r="Y152" s="2">
        <v>130.6</v>
      </c>
      <c r="Z152" s="2">
        <v>119.8</v>
      </c>
      <c r="AA152" s="2">
        <v>128.30000000000001</v>
      </c>
      <c r="AB152" s="2">
        <v>135.19999999999999</v>
      </c>
      <c r="AC152" s="2">
        <v>123.3</v>
      </c>
      <c r="AD152" s="2">
        <v>127.4</v>
      </c>
      <c r="AE152" s="2">
        <v>132.80000000000001</v>
      </c>
      <c r="AG152" s="20">
        <f t="shared" si="8"/>
        <v>132.96153846153848</v>
      </c>
      <c r="AH152" s="2">
        <v>144.19999999999999</v>
      </c>
      <c r="AI152" s="20">
        <f t="shared" si="9"/>
        <v>133.13333333333333</v>
      </c>
      <c r="AJ152" s="20">
        <f t="shared" si="10"/>
        <v>139.53333333333333</v>
      </c>
      <c r="AK152" s="20">
        <f t="shared" si="11"/>
        <v>127.43333333333332</v>
      </c>
    </row>
    <row r="153" spans="1:37" ht="15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132.69999999999999</v>
      </c>
      <c r="F153" s="2">
        <v>139.4</v>
      </c>
      <c r="G153" s="2">
        <v>128.4</v>
      </c>
      <c r="H153" s="2">
        <v>134.9</v>
      </c>
      <c r="I153" s="2">
        <v>114</v>
      </c>
      <c r="J153" s="2">
        <v>136.80000000000001</v>
      </c>
      <c r="K153" s="2">
        <v>122.2</v>
      </c>
      <c r="L153" s="2">
        <v>135.80000000000001</v>
      </c>
      <c r="M153" s="2">
        <v>120.3</v>
      </c>
      <c r="N153" s="2">
        <v>142.6</v>
      </c>
      <c r="O153" s="2">
        <v>123.6</v>
      </c>
      <c r="P153" s="2">
        <v>142.4</v>
      </c>
      <c r="Q153" s="2">
        <v>132.6</v>
      </c>
      <c r="R153" s="2">
        <v>147.5</v>
      </c>
      <c r="S153" s="2">
        <v>130.80000000000001</v>
      </c>
      <c r="T153" s="2">
        <v>122.8</v>
      </c>
      <c r="U153" s="2">
        <v>129.6</v>
      </c>
      <c r="V153" s="2">
        <v>119.6</v>
      </c>
      <c r="W153" s="2">
        <v>120.8</v>
      </c>
      <c r="X153" s="2">
        <v>125.6</v>
      </c>
      <c r="Y153" s="2">
        <v>123.1</v>
      </c>
      <c r="Z153" s="2">
        <v>115.6</v>
      </c>
      <c r="AA153" s="2">
        <v>122.4</v>
      </c>
      <c r="AB153" s="2">
        <v>132.80000000000001</v>
      </c>
      <c r="AC153" s="2">
        <v>121.7</v>
      </c>
      <c r="AD153" s="2">
        <v>122.6</v>
      </c>
      <c r="AE153" s="2">
        <v>128.69999999999999</v>
      </c>
      <c r="AG153" s="20">
        <f t="shared" si="8"/>
        <v>131.2076923076923</v>
      </c>
      <c r="AH153" s="2">
        <v>147.5</v>
      </c>
      <c r="AI153" s="20">
        <f t="shared" si="9"/>
        <v>122</v>
      </c>
      <c r="AJ153" s="20">
        <f t="shared" si="10"/>
        <v>127.73333333333335</v>
      </c>
      <c r="AK153" s="20">
        <f t="shared" si="11"/>
        <v>123.03333333333335</v>
      </c>
    </row>
    <row r="154" spans="1:37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133.30000000000001</v>
      </c>
      <c r="F154" s="2">
        <v>139</v>
      </c>
      <c r="G154" s="2">
        <v>128.6</v>
      </c>
      <c r="H154" s="2">
        <v>136.30000000000001</v>
      </c>
      <c r="I154" s="2">
        <v>118.8</v>
      </c>
      <c r="J154" s="2">
        <v>138.30000000000001</v>
      </c>
      <c r="K154" s="2">
        <v>120.5</v>
      </c>
      <c r="L154" s="2">
        <v>143.9</v>
      </c>
      <c r="M154" s="2">
        <v>118</v>
      </c>
      <c r="N154" s="2">
        <v>137.9</v>
      </c>
      <c r="O154" s="2">
        <v>127.2</v>
      </c>
      <c r="P154" s="2">
        <v>144</v>
      </c>
      <c r="Q154" s="2">
        <v>133.1</v>
      </c>
      <c r="R154" s="2">
        <v>145.1</v>
      </c>
      <c r="S154" s="2">
        <v>137.30000000000001</v>
      </c>
      <c r="T154" s="2">
        <v>130.6</v>
      </c>
      <c r="U154" s="2">
        <v>136.4</v>
      </c>
      <c r="V154" s="2">
        <v>119</v>
      </c>
      <c r="W154" s="2">
        <v>129.1</v>
      </c>
      <c r="X154" s="2">
        <v>130.1</v>
      </c>
      <c r="Y154" s="2">
        <v>127.8</v>
      </c>
      <c r="Z154" s="2">
        <v>117.6</v>
      </c>
      <c r="AA154" s="2">
        <v>125</v>
      </c>
      <c r="AB154" s="2">
        <v>133.80000000000001</v>
      </c>
      <c r="AC154" s="2">
        <v>122.6</v>
      </c>
      <c r="AD154" s="2">
        <v>125.1</v>
      </c>
      <c r="AE154" s="2">
        <v>130.9</v>
      </c>
      <c r="AG154" s="20">
        <f t="shared" si="8"/>
        <v>132.22307692307692</v>
      </c>
      <c r="AH154" s="2">
        <v>145.1</v>
      </c>
      <c r="AI154" s="20">
        <f t="shared" si="9"/>
        <v>126.06666666666666</v>
      </c>
      <c r="AJ154" s="20">
        <f t="shared" si="10"/>
        <v>134.76666666666665</v>
      </c>
      <c r="AK154" s="20">
        <f t="shared" si="11"/>
        <v>125.31666666666666</v>
      </c>
    </row>
    <row r="155" spans="1:37" ht="15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133.19999999999999</v>
      </c>
      <c r="F155" s="2">
        <v>138.69999999999999</v>
      </c>
      <c r="G155" s="2">
        <v>127.1</v>
      </c>
      <c r="H155" s="2">
        <v>137.69999999999999</v>
      </c>
      <c r="I155" s="2">
        <v>121.3</v>
      </c>
      <c r="J155" s="2">
        <v>141.80000000000001</v>
      </c>
      <c r="K155" s="2">
        <v>121.5</v>
      </c>
      <c r="L155" s="2">
        <v>144.5</v>
      </c>
      <c r="M155" s="2">
        <v>117.4</v>
      </c>
      <c r="N155" s="2">
        <v>134.1</v>
      </c>
      <c r="O155" s="2">
        <v>130</v>
      </c>
      <c r="P155" s="2">
        <v>145.5</v>
      </c>
      <c r="Q155" s="2">
        <v>133.5</v>
      </c>
      <c r="R155" s="2">
        <v>144.4</v>
      </c>
      <c r="S155" s="2">
        <v>142.4</v>
      </c>
      <c r="T155" s="2">
        <v>136.80000000000001</v>
      </c>
      <c r="U155" s="2">
        <v>141.6</v>
      </c>
      <c r="V155" s="2">
        <f>VLOOKUP($A155,'Impute housing Missing Value'!$A$1:$C$125,3,0)</f>
        <v>131.69999999999999</v>
      </c>
      <c r="W155" s="2">
        <v>135</v>
      </c>
      <c r="X155" s="2">
        <v>134.30000000000001</v>
      </c>
      <c r="Y155" s="2">
        <v>131</v>
      </c>
      <c r="Z155" s="2">
        <v>119.2</v>
      </c>
      <c r="AA155" s="2">
        <v>128.30000000000001</v>
      </c>
      <c r="AB155" s="2">
        <v>135.69999999999999</v>
      </c>
      <c r="AC155" s="2">
        <v>123.7</v>
      </c>
      <c r="AD155" s="2">
        <v>127.5</v>
      </c>
      <c r="AE155" s="2">
        <v>132.9</v>
      </c>
      <c r="AG155" s="20">
        <f t="shared" si="8"/>
        <v>132.7923076923077</v>
      </c>
      <c r="AH155" s="2">
        <v>144.4</v>
      </c>
      <c r="AI155" s="20">
        <f t="shared" si="9"/>
        <v>133.66666666666666</v>
      </c>
      <c r="AJ155" s="20">
        <f t="shared" si="10"/>
        <v>140.26666666666668</v>
      </c>
      <c r="AK155" s="20">
        <f t="shared" si="11"/>
        <v>127.56666666666668</v>
      </c>
    </row>
    <row r="156" spans="1:37" ht="15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132.69999999999999</v>
      </c>
      <c r="F156" s="2">
        <v>140.6</v>
      </c>
      <c r="G156" s="2">
        <v>124.5</v>
      </c>
      <c r="H156" s="2">
        <v>136.30000000000001</v>
      </c>
      <c r="I156" s="2">
        <v>113.5</v>
      </c>
      <c r="J156" s="2">
        <v>137.69999999999999</v>
      </c>
      <c r="K156" s="2">
        <v>127.1</v>
      </c>
      <c r="L156" s="2">
        <v>133.80000000000001</v>
      </c>
      <c r="M156" s="2">
        <v>120.8</v>
      </c>
      <c r="N156" s="2">
        <v>141.30000000000001</v>
      </c>
      <c r="O156" s="2">
        <v>123.8</v>
      </c>
      <c r="P156" s="2">
        <v>142.6</v>
      </c>
      <c r="Q156" s="2">
        <v>133.4</v>
      </c>
      <c r="R156" s="2">
        <v>148</v>
      </c>
      <c r="S156" s="2">
        <v>131.19999999999999</v>
      </c>
      <c r="T156" s="2">
        <v>123</v>
      </c>
      <c r="U156" s="2">
        <v>130</v>
      </c>
      <c r="V156" s="2">
        <v>120.9</v>
      </c>
      <c r="W156" s="2">
        <v>121.4</v>
      </c>
      <c r="X156" s="2">
        <v>126</v>
      </c>
      <c r="Y156" s="2">
        <v>123.4</v>
      </c>
      <c r="Z156" s="2">
        <v>114.3</v>
      </c>
      <c r="AA156" s="2">
        <v>122.6</v>
      </c>
      <c r="AB156" s="2">
        <v>133.6</v>
      </c>
      <c r="AC156" s="2">
        <v>122.2</v>
      </c>
      <c r="AD156" s="2">
        <v>122.5</v>
      </c>
      <c r="AE156" s="2">
        <v>129.1</v>
      </c>
      <c r="AG156" s="20">
        <f t="shared" si="8"/>
        <v>131.3923076923077</v>
      </c>
      <c r="AH156" s="2">
        <v>148</v>
      </c>
      <c r="AI156" s="20">
        <f t="shared" si="9"/>
        <v>122.76666666666667</v>
      </c>
      <c r="AJ156" s="20">
        <f t="shared" si="10"/>
        <v>128.06666666666666</v>
      </c>
      <c r="AK156" s="20">
        <f t="shared" si="11"/>
        <v>123.10000000000001</v>
      </c>
    </row>
    <row r="157" spans="1:37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133</v>
      </c>
      <c r="F157" s="2">
        <v>139.4</v>
      </c>
      <c r="G157" s="2">
        <v>126.1</v>
      </c>
      <c r="H157" s="2">
        <v>137.19999999999999</v>
      </c>
      <c r="I157" s="2">
        <v>118.4</v>
      </c>
      <c r="J157" s="2">
        <v>139.9</v>
      </c>
      <c r="K157" s="2">
        <v>123.4</v>
      </c>
      <c r="L157" s="2">
        <v>140.9</v>
      </c>
      <c r="M157" s="2">
        <v>118.5</v>
      </c>
      <c r="N157" s="2">
        <v>136.5</v>
      </c>
      <c r="O157" s="2">
        <v>127.4</v>
      </c>
      <c r="P157" s="2">
        <v>144.19999999999999</v>
      </c>
      <c r="Q157" s="2">
        <v>133.5</v>
      </c>
      <c r="R157" s="2">
        <v>145.4</v>
      </c>
      <c r="S157" s="2">
        <v>138</v>
      </c>
      <c r="T157" s="2">
        <v>131.1</v>
      </c>
      <c r="U157" s="2">
        <v>137</v>
      </c>
      <c r="V157" s="2">
        <v>121.6</v>
      </c>
      <c r="W157" s="2">
        <v>129.80000000000001</v>
      </c>
      <c r="X157" s="2">
        <v>130.4</v>
      </c>
      <c r="Y157" s="2">
        <v>128.1</v>
      </c>
      <c r="Z157" s="2">
        <v>116.6</v>
      </c>
      <c r="AA157" s="2">
        <v>125.1</v>
      </c>
      <c r="AB157" s="2">
        <v>134.5</v>
      </c>
      <c r="AC157" s="2">
        <v>123.1</v>
      </c>
      <c r="AD157" s="2">
        <v>125.1</v>
      </c>
      <c r="AE157" s="2">
        <v>131.1</v>
      </c>
      <c r="AG157" s="20">
        <f t="shared" si="8"/>
        <v>132.1846153846154</v>
      </c>
      <c r="AH157" s="2">
        <v>145.4</v>
      </c>
      <c r="AI157" s="20">
        <f t="shared" si="9"/>
        <v>127.26666666666667</v>
      </c>
      <c r="AJ157" s="20">
        <f t="shared" si="10"/>
        <v>135.36666666666667</v>
      </c>
      <c r="AK157" s="20">
        <f t="shared" si="11"/>
        <v>125.41666666666667</v>
      </c>
    </row>
    <row r="158" spans="1:37" ht="15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133.1</v>
      </c>
      <c r="F158" s="2">
        <v>140.30000000000001</v>
      </c>
      <c r="G158" s="2">
        <v>126.8</v>
      </c>
      <c r="H158" s="2">
        <v>138.19999999999999</v>
      </c>
      <c r="I158" s="2">
        <v>120.8</v>
      </c>
      <c r="J158" s="2">
        <v>140.19999999999999</v>
      </c>
      <c r="K158" s="2">
        <v>123.8</v>
      </c>
      <c r="L158" s="2">
        <v>141.80000000000001</v>
      </c>
      <c r="M158" s="2">
        <v>118.6</v>
      </c>
      <c r="N158" s="2">
        <v>134</v>
      </c>
      <c r="O158" s="2">
        <v>130.30000000000001</v>
      </c>
      <c r="P158" s="2">
        <v>145.80000000000001</v>
      </c>
      <c r="Q158" s="2">
        <v>133.80000000000001</v>
      </c>
      <c r="R158" s="2">
        <v>145.5</v>
      </c>
      <c r="S158" s="2">
        <v>142.5</v>
      </c>
      <c r="T158" s="2">
        <v>137.30000000000001</v>
      </c>
      <c r="U158" s="2">
        <v>141.80000000000001</v>
      </c>
      <c r="V158" s="2">
        <f>VLOOKUP($A158,'Impute housing Missing Value'!$A$1:$C$125,3,0)</f>
        <v>132.1</v>
      </c>
      <c r="W158" s="2">
        <v>135</v>
      </c>
      <c r="X158" s="2">
        <v>134.9</v>
      </c>
      <c r="Y158" s="2">
        <v>131.4</v>
      </c>
      <c r="Z158" s="2">
        <v>119.4</v>
      </c>
      <c r="AA158" s="2">
        <v>129.4</v>
      </c>
      <c r="AB158" s="2">
        <v>136.30000000000001</v>
      </c>
      <c r="AC158" s="2">
        <v>123.7</v>
      </c>
      <c r="AD158" s="2">
        <v>127.9</v>
      </c>
      <c r="AE158" s="2">
        <v>133.30000000000001</v>
      </c>
      <c r="AG158" s="20">
        <f t="shared" si="8"/>
        <v>132.88461538461536</v>
      </c>
      <c r="AH158" s="2">
        <v>145.5</v>
      </c>
      <c r="AI158" s="20">
        <f t="shared" si="9"/>
        <v>134</v>
      </c>
      <c r="AJ158" s="20">
        <f t="shared" si="10"/>
        <v>140.53333333333333</v>
      </c>
      <c r="AK158" s="20">
        <f t="shared" si="11"/>
        <v>128.01666666666668</v>
      </c>
    </row>
    <row r="159" spans="1:37" ht="15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132.6</v>
      </c>
      <c r="F159" s="2">
        <v>144.1</v>
      </c>
      <c r="G159" s="2">
        <v>125.6</v>
      </c>
      <c r="H159" s="2">
        <v>136.80000000000001</v>
      </c>
      <c r="I159" s="2">
        <v>113.4</v>
      </c>
      <c r="J159" s="2">
        <v>135.19999999999999</v>
      </c>
      <c r="K159" s="2">
        <v>129.19999999999999</v>
      </c>
      <c r="L159" s="2">
        <v>131.5</v>
      </c>
      <c r="M159" s="2">
        <v>121</v>
      </c>
      <c r="N159" s="2">
        <v>139.9</v>
      </c>
      <c r="O159" s="2">
        <v>123.8</v>
      </c>
      <c r="P159" s="2">
        <v>142.9</v>
      </c>
      <c r="Q159" s="2">
        <v>133.6</v>
      </c>
      <c r="R159" s="2">
        <v>148.30000000000001</v>
      </c>
      <c r="S159" s="2">
        <v>131.5</v>
      </c>
      <c r="T159" s="2">
        <v>123.2</v>
      </c>
      <c r="U159" s="2">
        <v>130.19999999999999</v>
      </c>
      <c r="V159" s="2">
        <v>122.9</v>
      </c>
      <c r="W159" s="2">
        <v>120.1</v>
      </c>
      <c r="X159" s="2">
        <v>126.5</v>
      </c>
      <c r="Y159" s="2">
        <v>123.6</v>
      </c>
      <c r="Z159" s="2">
        <v>114.3</v>
      </c>
      <c r="AA159" s="2">
        <v>122.8</v>
      </c>
      <c r="AB159" s="2">
        <v>133.80000000000001</v>
      </c>
      <c r="AC159" s="2">
        <v>122</v>
      </c>
      <c r="AD159" s="2">
        <v>122.6</v>
      </c>
      <c r="AE159" s="2">
        <v>129.30000000000001</v>
      </c>
      <c r="AG159" s="20">
        <f t="shared" si="8"/>
        <v>131.50769230769231</v>
      </c>
      <c r="AH159" s="2">
        <v>148.30000000000001</v>
      </c>
      <c r="AI159" s="20">
        <f t="shared" si="9"/>
        <v>123.16666666666667</v>
      </c>
      <c r="AJ159" s="20">
        <f t="shared" si="10"/>
        <v>128.29999999999998</v>
      </c>
      <c r="AK159" s="20">
        <f t="shared" si="11"/>
        <v>123.18333333333334</v>
      </c>
    </row>
    <row r="160" spans="1:37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132.9</v>
      </c>
      <c r="F160" s="2">
        <v>141.6</v>
      </c>
      <c r="G160" s="2">
        <v>126.3</v>
      </c>
      <c r="H160" s="2">
        <v>137.69999999999999</v>
      </c>
      <c r="I160" s="2">
        <v>118.1</v>
      </c>
      <c r="J160" s="2">
        <v>137.9</v>
      </c>
      <c r="K160" s="2">
        <v>125.6</v>
      </c>
      <c r="L160" s="2">
        <v>138.30000000000001</v>
      </c>
      <c r="M160" s="2">
        <v>119.4</v>
      </c>
      <c r="N160" s="2">
        <v>136</v>
      </c>
      <c r="O160" s="2">
        <v>127.6</v>
      </c>
      <c r="P160" s="2">
        <v>144.5</v>
      </c>
      <c r="Q160" s="2">
        <v>133.69999999999999</v>
      </c>
      <c r="R160" s="2">
        <v>146.19999999999999</v>
      </c>
      <c r="S160" s="2">
        <v>138.19999999999999</v>
      </c>
      <c r="T160" s="2">
        <v>131.4</v>
      </c>
      <c r="U160" s="2">
        <v>137.19999999999999</v>
      </c>
      <c r="V160" s="2">
        <v>122.4</v>
      </c>
      <c r="W160" s="2">
        <v>129.4</v>
      </c>
      <c r="X160" s="2">
        <v>130.9</v>
      </c>
      <c r="Y160" s="2">
        <v>128.4</v>
      </c>
      <c r="Z160" s="2">
        <v>116.7</v>
      </c>
      <c r="AA160" s="2">
        <v>125.7</v>
      </c>
      <c r="AB160" s="2">
        <v>134.80000000000001</v>
      </c>
      <c r="AC160" s="2">
        <v>123</v>
      </c>
      <c r="AD160" s="2">
        <v>125.3</v>
      </c>
      <c r="AE160" s="2">
        <v>131.4</v>
      </c>
      <c r="AG160" s="20">
        <f t="shared" si="8"/>
        <v>132.27692307692308</v>
      </c>
      <c r="AH160" s="2">
        <v>146.19999999999999</v>
      </c>
      <c r="AI160" s="20">
        <f t="shared" si="9"/>
        <v>127.56666666666668</v>
      </c>
      <c r="AJ160" s="20">
        <f t="shared" si="10"/>
        <v>135.6</v>
      </c>
      <c r="AK160" s="20">
        <f t="shared" si="11"/>
        <v>125.64999999999999</v>
      </c>
    </row>
    <row r="161" spans="1:37" ht="15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133.5</v>
      </c>
      <c r="F161" s="2">
        <v>143.69999999999999</v>
      </c>
      <c r="G161" s="2">
        <v>128</v>
      </c>
      <c r="H161" s="2">
        <v>138.6</v>
      </c>
      <c r="I161" s="2">
        <v>120.9</v>
      </c>
      <c r="J161" s="2">
        <v>140.9</v>
      </c>
      <c r="K161" s="2">
        <v>128.80000000000001</v>
      </c>
      <c r="L161" s="2">
        <v>140.19999999999999</v>
      </c>
      <c r="M161" s="2">
        <v>118.9</v>
      </c>
      <c r="N161" s="2">
        <v>133.5</v>
      </c>
      <c r="O161" s="2">
        <v>130.4</v>
      </c>
      <c r="P161" s="2">
        <v>146.5</v>
      </c>
      <c r="Q161" s="2">
        <v>134.9</v>
      </c>
      <c r="R161" s="2">
        <v>145.80000000000001</v>
      </c>
      <c r="S161" s="2">
        <v>143.1</v>
      </c>
      <c r="T161" s="2">
        <v>137.69999999999999</v>
      </c>
      <c r="U161" s="2">
        <v>142.30000000000001</v>
      </c>
      <c r="V161" s="2">
        <f>VLOOKUP($A161,'Impute housing Missing Value'!$A$1:$C$125,3,0)</f>
        <v>131.4</v>
      </c>
      <c r="W161" s="2">
        <v>134.80000000000001</v>
      </c>
      <c r="X161" s="2">
        <v>135.19999999999999</v>
      </c>
      <c r="Y161" s="2">
        <v>131.30000000000001</v>
      </c>
      <c r="Z161" s="2">
        <v>119.4</v>
      </c>
      <c r="AA161" s="2">
        <v>129.80000000000001</v>
      </c>
      <c r="AB161" s="2">
        <v>136.9</v>
      </c>
      <c r="AC161" s="2">
        <v>124.1</v>
      </c>
      <c r="AD161" s="2">
        <v>128.1</v>
      </c>
      <c r="AE161" s="2">
        <v>133.9</v>
      </c>
      <c r="AG161" s="20">
        <f t="shared" si="8"/>
        <v>133.75384615384615</v>
      </c>
      <c r="AH161" s="2">
        <v>145.80000000000001</v>
      </c>
      <c r="AI161" s="20">
        <f t="shared" si="9"/>
        <v>133.80000000000001</v>
      </c>
      <c r="AJ161" s="20">
        <f t="shared" si="10"/>
        <v>141.03333333333333</v>
      </c>
      <c r="AK161" s="20">
        <f t="shared" si="11"/>
        <v>128.26666666666668</v>
      </c>
    </row>
    <row r="162" spans="1:37" ht="15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132.9</v>
      </c>
      <c r="F162" s="2">
        <v>148.69999999999999</v>
      </c>
      <c r="G162" s="2">
        <v>128.30000000000001</v>
      </c>
      <c r="H162" s="2">
        <v>137.30000000000001</v>
      </c>
      <c r="I162" s="2">
        <v>113.5</v>
      </c>
      <c r="J162" s="2">
        <v>137.19999999999999</v>
      </c>
      <c r="K162" s="2">
        <v>142.19999999999999</v>
      </c>
      <c r="L162" s="2">
        <v>128.19999999999999</v>
      </c>
      <c r="M162" s="2">
        <v>120.9</v>
      </c>
      <c r="N162" s="2">
        <v>138.80000000000001</v>
      </c>
      <c r="O162" s="2">
        <v>124.2</v>
      </c>
      <c r="P162" s="2">
        <v>143.1</v>
      </c>
      <c r="Q162" s="2">
        <v>135.69999999999999</v>
      </c>
      <c r="R162" s="2">
        <v>148.6</v>
      </c>
      <c r="S162" s="2">
        <v>131.5</v>
      </c>
      <c r="T162" s="2">
        <v>123.2</v>
      </c>
      <c r="U162" s="2">
        <v>130.19999999999999</v>
      </c>
      <c r="V162" s="2">
        <v>124.4</v>
      </c>
      <c r="W162" s="2">
        <v>119</v>
      </c>
      <c r="X162" s="2">
        <v>126.8</v>
      </c>
      <c r="Y162" s="2">
        <v>123.8</v>
      </c>
      <c r="Z162" s="2">
        <v>113.9</v>
      </c>
      <c r="AA162" s="2">
        <v>122.9</v>
      </c>
      <c r="AB162" s="2">
        <v>134.30000000000001</v>
      </c>
      <c r="AC162" s="2">
        <v>122.5</v>
      </c>
      <c r="AD162" s="2">
        <v>122.7</v>
      </c>
      <c r="AE162" s="2">
        <v>129.9</v>
      </c>
      <c r="AG162" s="20">
        <f t="shared" si="8"/>
        <v>133.15384615384616</v>
      </c>
      <c r="AH162" s="2">
        <v>148.6</v>
      </c>
      <c r="AI162" s="20">
        <f t="shared" si="9"/>
        <v>123.39999999999999</v>
      </c>
      <c r="AJ162" s="20">
        <f t="shared" si="10"/>
        <v>128.29999999999998</v>
      </c>
      <c r="AK162" s="20">
        <f t="shared" si="11"/>
        <v>123.35000000000002</v>
      </c>
    </row>
    <row r="163" spans="1:37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133.30000000000001</v>
      </c>
      <c r="F163" s="2">
        <v>145.5</v>
      </c>
      <c r="G163" s="2">
        <v>128.1</v>
      </c>
      <c r="H163" s="2">
        <v>138.1</v>
      </c>
      <c r="I163" s="2">
        <v>118.2</v>
      </c>
      <c r="J163" s="2">
        <v>139.19999999999999</v>
      </c>
      <c r="K163" s="2">
        <v>133.30000000000001</v>
      </c>
      <c r="L163" s="2">
        <v>136.19999999999999</v>
      </c>
      <c r="M163" s="2">
        <v>119.6</v>
      </c>
      <c r="N163" s="2">
        <v>135.30000000000001</v>
      </c>
      <c r="O163" s="2">
        <v>127.8</v>
      </c>
      <c r="P163" s="2">
        <v>144.9</v>
      </c>
      <c r="Q163" s="2">
        <v>135.19999999999999</v>
      </c>
      <c r="R163" s="2">
        <v>146.5</v>
      </c>
      <c r="S163" s="2">
        <v>138.5</v>
      </c>
      <c r="T163" s="2">
        <v>131.69999999999999</v>
      </c>
      <c r="U163" s="2">
        <v>137.5</v>
      </c>
      <c r="V163" s="2">
        <v>124.9</v>
      </c>
      <c r="W163" s="2">
        <v>128.80000000000001</v>
      </c>
      <c r="X163" s="2">
        <v>131.19999999999999</v>
      </c>
      <c r="Y163" s="2">
        <v>128.5</v>
      </c>
      <c r="Z163" s="2">
        <v>116.5</v>
      </c>
      <c r="AA163" s="2">
        <v>125.9</v>
      </c>
      <c r="AB163" s="2">
        <v>135.4</v>
      </c>
      <c r="AC163" s="2">
        <v>123.4</v>
      </c>
      <c r="AD163" s="2">
        <v>125.5</v>
      </c>
      <c r="AE163" s="2">
        <v>132</v>
      </c>
      <c r="AG163" s="20">
        <f t="shared" si="8"/>
        <v>133.43846153846155</v>
      </c>
      <c r="AH163" s="2">
        <v>146.5</v>
      </c>
      <c r="AI163" s="20">
        <f t="shared" si="9"/>
        <v>128.29999999999998</v>
      </c>
      <c r="AJ163" s="20">
        <f t="shared" si="10"/>
        <v>135.9</v>
      </c>
      <c r="AK163" s="20">
        <f t="shared" si="11"/>
        <v>125.86666666666666</v>
      </c>
    </row>
    <row r="164" spans="1:37" ht="15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134</v>
      </c>
      <c r="F164" s="2">
        <v>144.19999999999999</v>
      </c>
      <c r="G164" s="2">
        <v>129.80000000000001</v>
      </c>
      <c r="H164" s="2">
        <v>139</v>
      </c>
      <c r="I164" s="2">
        <v>120.9</v>
      </c>
      <c r="J164" s="2">
        <v>143.9</v>
      </c>
      <c r="K164" s="2">
        <v>151.5</v>
      </c>
      <c r="L164" s="2">
        <v>138.1</v>
      </c>
      <c r="M164" s="2">
        <v>120</v>
      </c>
      <c r="N164" s="2">
        <v>133.9</v>
      </c>
      <c r="O164" s="2">
        <v>131.4</v>
      </c>
      <c r="P164" s="2">
        <v>147.69999999999999</v>
      </c>
      <c r="Q164" s="2">
        <v>138.5</v>
      </c>
      <c r="R164" s="2">
        <v>147.4</v>
      </c>
      <c r="S164" s="2">
        <v>144.30000000000001</v>
      </c>
      <c r="T164" s="2">
        <v>138.1</v>
      </c>
      <c r="U164" s="2">
        <v>143.5</v>
      </c>
      <c r="V164" s="2">
        <f>VLOOKUP($A164,'Impute housing Missing Value'!$A$1:$C$125,3,0)</f>
        <v>132.6</v>
      </c>
      <c r="W164" s="2">
        <v>135.30000000000001</v>
      </c>
      <c r="X164" s="2">
        <v>136.1</v>
      </c>
      <c r="Y164" s="2">
        <v>132.1</v>
      </c>
      <c r="Z164" s="2">
        <v>119.1</v>
      </c>
      <c r="AA164" s="2">
        <v>130.6</v>
      </c>
      <c r="AB164" s="2">
        <v>138.6</v>
      </c>
      <c r="AC164" s="2">
        <v>124.4</v>
      </c>
      <c r="AD164" s="2">
        <v>128.6</v>
      </c>
      <c r="AE164" s="2">
        <v>136.19999999999999</v>
      </c>
      <c r="AG164" s="20">
        <f t="shared" si="8"/>
        <v>136.37692307692308</v>
      </c>
      <c r="AH164" s="2">
        <v>147.4</v>
      </c>
      <c r="AI164" s="20">
        <f t="shared" si="9"/>
        <v>134.66666666666666</v>
      </c>
      <c r="AJ164" s="20">
        <f t="shared" si="10"/>
        <v>141.96666666666667</v>
      </c>
      <c r="AK164" s="20">
        <f t="shared" si="11"/>
        <v>128.9</v>
      </c>
    </row>
    <row r="165" spans="1:37" ht="15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132.80000000000001</v>
      </c>
      <c r="F165" s="2">
        <v>148.4</v>
      </c>
      <c r="G165" s="2">
        <v>129.4</v>
      </c>
      <c r="H165" s="2">
        <v>137.69999999999999</v>
      </c>
      <c r="I165" s="2">
        <v>113.4</v>
      </c>
      <c r="J165" s="2">
        <v>139.4</v>
      </c>
      <c r="K165" s="2">
        <v>175.1</v>
      </c>
      <c r="L165" s="2">
        <v>124.7</v>
      </c>
      <c r="M165" s="2">
        <v>121.5</v>
      </c>
      <c r="N165" s="2">
        <v>137.80000000000001</v>
      </c>
      <c r="O165" s="2">
        <v>124.4</v>
      </c>
      <c r="P165" s="2">
        <v>143.69999999999999</v>
      </c>
      <c r="Q165" s="2">
        <v>139.80000000000001</v>
      </c>
      <c r="R165" s="2">
        <v>150.5</v>
      </c>
      <c r="S165" s="2">
        <v>131.6</v>
      </c>
      <c r="T165" s="2">
        <v>123.7</v>
      </c>
      <c r="U165" s="2">
        <v>130.4</v>
      </c>
      <c r="V165" s="2">
        <v>126</v>
      </c>
      <c r="W165" s="2">
        <v>119.7</v>
      </c>
      <c r="X165" s="2">
        <v>127.2</v>
      </c>
      <c r="Y165" s="2">
        <v>125</v>
      </c>
      <c r="Z165" s="2">
        <v>113.2</v>
      </c>
      <c r="AA165" s="2">
        <v>123.5</v>
      </c>
      <c r="AB165" s="2">
        <v>135.5</v>
      </c>
      <c r="AC165" s="2">
        <v>122.4</v>
      </c>
      <c r="AD165" s="2">
        <v>123</v>
      </c>
      <c r="AE165" s="2">
        <v>131.80000000000001</v>
      </c>
      <c r="AG165" s="20">
        <f t="shared" si="8"/>
        <v>136.00769230769231</v>
      </c>
      <c r="AH165" s="2">
        <v>150.5</v>
      </c>
      <c r="AI165" s="20">
        <f t="shared" si="9"/>
        <v>124.3</v>
      </c>
      <c r="AJ165" s="20">
        <f t="shared" si="10"/>
        <v>128.56666666666669</v>
      </c>
      <c r="AK165" s="20">
        <f t="shared" si="11"/>
        <v>123.76666666666667</v>
      </c>
    </row>
    <row r="166" spans="1:37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133.6</v>
      </c>
      <c r="F166" s="2">
        <v>145.69999999999999</v>
      </c>
      <c r="G166" s="2">
        <v>129.6</v>
      </c>
      <c r="H166" s="2">
        <v>138.5</v>
      </c>
      <c r="I166" s="2">
        <v>118.1</v>
      </c>
      <c r="J166" s="2">
        <v>141.80000000000001</v>
      </c>
      <c r="K166" s="2">
        <v>159.5</v>
      </c>
      <c r="L166" s="2">
        <v>133.6</v>
      </c>
      <c r="M166" s="2">
        <v>120.5</v>
      </c>
      <c r="N166" s="2">
        <v>135.19999999999999</v>
      </c>
      <c r="O166" s="2">
        <v>128.5</v>
      </c>
      <c r="P166" s="2">
        <v>145.80000000000001</v>
      </c>
      <c r="Q166" s="2">
        <v>139</v>
      </c>
      <c r="R166" s="2">
        <v>148.19999999999999</v>
      </c>
      <c r="S166" s="2">
        <v>139.30000000000001</v>
      </c>
      <c r="T166" s="2">
        <v>132.1</v>
      </c>
      <c r="U166" s="2">
        <v>138.30000000000001</v>
      </c>
      <c r="V166" s="2">
        <v>125.5</v>
      </c>
      <c r="W166" s="2">
        <v>129.4</v>
      </c>
      <c r="X166" s="2">
        <v>131.9</v>
      </c>
      <c r="Y166" s="2">
        <v>129.4</v>
      </c>
      <c r="Z166" s="2">
        <v>116</v>
      </c>
      <c r="AA166" s="2">
        <v>126.6</v>
      </c>
      <c r="AB166" s="2">
        <v>136.80000000000001</v>
      </c>
      <c r="AC166" s="2">
        <v>123.6</v>
      </c>
      <c r="AD166" s="2">
        <v>125.9</v>
      </c>
      <c r="AE166" s="2">
        <v>134.19999999999999</v>
      </c>
      <c r="AG166" s="20">
        <f t="shared" si="8"/>
        <v>136.1076923076923</v>
      </c>
      <c r="AH166" s="2">
        <v>148.19999999999999</v>
      </c>
      <c r="AI166" s="20">
        <f t="shared" si="9"/>
        <v>128.93333333333334</v>
      </c>
      <c r="AJ166" s="20">
        <f t="shared" si="10"/>
        <v>136.56666666666666</v>
      </c>
      <c r="AK166" s="20">
        <f t="shared" si="11"/>
        <v>126.38333333333333</v>
      </c>
    </row>
    <row r="167" spans="1:37" ht="15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134.80000000000001</v>
      </c>
      <c r="F167" s="2">
        <v>143.1</v>
      </c>
      <c r="G167" s="2">
        <v>130</v>
      </c>
      <c r="H167" s="2">
        <v>139.4</v>
      </c>
      <c r="I167" s="2">
        <v>120.5</v>
      </c>
      <c r="J167" s="2">
        <v>148</v>
      </c>
      <c r="K167" s="2">
        <v>162.9</v>
      </c>
      <c r="L167" s="2">
        <v>137.4</v>
      </c>
      <c r="M167" s="2">
        <v>120.8</v>
      </c>
      <c r="N167" s="2">
        <v>134.69999999999999</v>
      </c>
      <c r="O167" s="2">
        <v>131.6</v>
      </c>
      <c r="P167" s="2">
        <v>148.69999999999999</v>
      </c>
      <c r="Q167" s="2">
        <v>140.6</v>
      </c>
      <c r="R167" s="2">
        <v>149</v>
      </c>
      <c r="S167" s="2">
        <v>145.30000000000001</v>
      </c>
      <c r="T167" s="2">
        <v>139.19999999999999</v>
      </c>
      <c r="U167" s="2">
        <v>144.5</v>
      </c>
      <c r="V167" s="2">
        <f>VLOOKUP($A167,'Impute housing Missing Value'!$A$1:$C$125,3,0)</f>
        <v>134.4</v>
      </c>
      <c r="W167" s="2">
        <v>136.4</v>
      </c>
      <c r="X167" s="2">
        <v>137.30000000000001</v>
      </c>
      <c r="Y167" s="2">
        <v>133</v>
      </c>
      <c r="Z167" s="2">
        <v>120.3</v>
      </c>
      <c r="AA167" s="2">
        <v>131.5</v>
      </c>
      <c r="AB167" s="2">
        <v>140.19999999999999</v>
      </c>
      <c r="AC167" s="2">
        <v>125.4</v>
      </c>
      <c r="AD167" s="2">
        <v>129.69999999999999</v>
      </c>
      <c r="AE167" s="2">
        <v>137.80000000000001</v>
      </c>
      <c r="AG167" s="20">
        <f t="shared" si="8"/>
        <v>137.88461538461536</v>
      </c>
      <c r="AH167" s="2">
        <v>149</v>
      </c>
      <c r="AI167" s="20">
        <f t="shared" si="9"/>
        <v>136.03333333333333</v>
      </c>
      <c r="AJ167" s="20">
        <f t="shared" si="10"/>
        <v>143</v>
      </c>
      <c r="AK167" s="20">
        <f t="shared" si="11"/>
        <v>130.01666666666665</v>
      </c>
    </row>
    <row r="168" spans="1:37" ht="15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133.19999999999999</v>
      </c>
      <c r="F168" s="2">
        <v>143.9</v>
      </c>
      <c r="G168" s="2">
        <v>128.30000000000001</v>
      </c>
      <c r="H168" s="2">
        <v>138.30000000000001</v>
      </c>
      <c r="I168" s="2">
        <v>114.1</v>
      </c>
      <c r="J168" s="2">
        <v>142.69999999999999</v>
      </c>
      <c r="K168" s="2">
        <v>179.8</v>
      </c>
      <c r="L168" s="2">
        <v>123.5</v>
      </c>
      <c r="M168" s="2">
        <v>122.1</v>
      </c>
      <c r="N168" s="2">
        <v>137.5</v>
      </c>
      <c r="O168" s="2">
        <v>124.6</v>
      </c>
      <c r="P168" s="2">
        <v>144.5</v>
      </c>
      <c r="Q168" s="2">
        <v>140.5</v>
      </c>
      <c r="R168" s="2">
        <v>152.1</v>
      </c>
      <c r="S168" s="2">
        <v>132.69999999999999</v>
      </c>
      <c r="T168" s="2">
        <v>124.3</v>
      </c>
      <c r="U168" s="2">
        <v>131.4</v>
      </c>
      <c r="V168" s="2">
        <v>127.3</v>
      </c>
      <c r="W168" s="2">
        <v>118.9</v>
      </c>
      <c r="X168" s="2">
        <v>127.7</v>
      </c>
      <c r="Y168" s="2">
        <v>125.7</v>
      </c>
      <c r="Z168" s="2">
        <v>114.6</v>
      </c>
      <c r="AA168" s="2">
        <v>124.1</v>
      </c>
      <c r="AB168" s="2">
        <v>135.69999999999999</v>
      </c>
      <c r="AC168" s="2">
        <v>123.3</v>
      </c>
      <c r="AD168" s="2">
        <v>123.8</v>
      </c>
      <c r="AE168" s="2">
        <v>132.69999999999999</v>
      </c>
      <c r="AG168" s="20">
        <f t="shared" si="8"/>
        <v>136.38461538461536</v>
      </c>
      <c r="AH168" s="2">
        <v>152.1</v>
      </c>
      <c r="AI168" s="20">
        <f t="shared" si="9"/>
        <v>124.63333333333333</v>
      </c>
      <c r="AJ168" s="20">
        <f t="shared" si="10"/>
        <v>129.46666666666667</v>
      </c>
      <c r="AK168" s="20">
        <f t="shared" si="11"/>
        <v>124.53333333333332</v>
      </c>
    </row>
    <row r="169" spans="1:37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134.30000000000001</v>
      </c>
      <c r="F169" s="2">
        <v>143.4</v>
      </c>
      <c r="G169" s="2">
        <v>129.30000000000001</v>
      </c>
      <c r="H169" s="2">
        <v>139</v>
      </c>
      <c r="I169" s="2">
        <v>118.1</v>
      </c>
      <c r="J169" s="2">
        <v>145.5</v>
      </c>
      <c r="K169" s="2">
        <v>168.6</v>
      </c>
      <c r="L169" s="2">
        <v>132.69999999999999</v>
      </c>
      <c r="M169" s="2">
        <v>121.2</v>
      </c>
      <c r="N169" s="2">
        <v>135.6</v>
      </c>
      <c r="O169" s="2">
        <v>128.69999999999999</v>
      </c>
      <c r="P169" s="2">
        <v>146.80000000000001</v>
      </c>
      <c r="Q169" s="2">
        <v>140.6</v>
      </c>
      <c r="R169" s="2">
        <v>149.80000000000001</v>
      </c>
      <c r="S169" s="2">
        <v>140.30000000000001</v>
      </c>
      <c r="T169" s="2">
        <v>133</v>
      </c>
      <c r="U169" s="2">
        <v>139.30000000000001</v>
      </c>
      <c r="V169" s="2">
        <v>127.9</v>
      </c>
      <c r="W169" s="2">
        <v>129.80000000000001</v>
      </c>
      <c r="X169" s="2">
        <v>132.80000000000001</v>
      </c>
      <c r="Y169" s="2">
        <v>130.19999999999999</v>
      </c>
      <c r="Z169" s="2">
        <v>117.3</v>
      </c>
      <c r="AA169" s="2">
        <v>127.3</v>
      </c>
      <c r="AB169" s="2">
        <v>137.6</v>
      </c>
      <c r="AC169" s="2">
        <v>124.5</v>
      </c>
      <c r="AD169" s="2">
        <v>126.8</v>
      </c>
      <c r="AE169" s="2">
        <v>135.4</v>
      </c>
      <c r="AG169" s="20">
        <f t="shared" si="8"/>
        <v>137.21538461538461</v>
      </c>
      <c r="AH169" s="2">
        <v>149.80000000000001</v>
      </c>
      <c r="AI169" s="20">
        <f t="shared" si="9"/>
        <v>130.16666666666669</v>
      </c>
      <c r="AJ169" s="20">
        <f t="shared" si="10"/>
        <v>137.53333333333333</v>
      </c>
      <c r="AK169" s="20">
        <f t="shared" si="11"/>
        <v>127.28333333333332</v>
      </c>
    </row>
    <row r="170" spans="1:37" ht="26.5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135.19999999999999</v>
      </c>
      <c r="F170" s="2">
        <v>142</v>
      </c>
      <c r="G170" s="2">
        <v>130.5</v>
      </c>
      <c r="H170" s="2">
        <v>140.19999999999999</v>
      </c>
      <c r="I170" s="2">
        <v>120.7</v>
      </c>
      <c r="J170" s="2">
        <v>147.80000000000001</v>
      </c>
      <c r="K170" s="2">
        <v>154.5</v>
      </c>
      <c r="L170" s="2">
        <v>137.1</v>
      </c>
      <c r="M170" s="2">
        <v>121</v>
      </c>
      <c r="N170" s="2">
        <v>134.69999999999999</v>
      </c>
      <c r="O170" s="2">
        <v>131.69999999999999</v>
      </c>
      <c r="P170" s="2">
        <v>149.30000000000001</v>
      </c>
      <c r="Q170" s="2">
        <v>139.6</v>
      </c>
      <c r="R170" s="2">
        <v>149.80000000000001</v>
      </c>
      <c r="S170" s="2">
        <v>146.1</v>
      </c>
      <c r="T170" s="2">
        <v>139.69999999999999</v>
      </c>
      <c r="U170" s="2">
        <v>145.19999999999999</v>
      </c>
      <c r="V170" s="2">
        <f>VLOOKUP($A170,'Impute housing Missing Value'!$A$1:$C$125,3,0)</f>
        <v>135.69999999999999</v>
      </c>
      <c r="W170" s="2">
        <v>137.4</v>
      </c>
      <c r="X170" s="2">
        <v>137.9</v>
      </c>
      <c r="Y170" s="2">
        <v>133.4</v>
      </c>
      <c r="Z170" s="2">
        <v>121.2</v>
      </c>
      <c r="AA170" s="2">
        <v>132.30000000000001</v>
      </c>
      <c r="AB170" s="2">
        <v>139.6</v>
      </c>
      <c r="AC170" s="2">
        <v>126.7</v>
      </c>
      <c r="AD170" s="2">
        <v>130.30000000000001</v>
      </c>
      <c r="AE170" s="2">
        <v>137.6</v>
      </c>
      <c r="AG170" s="20">
        <f t="shared" si="8"/>
        <v>137.25384615384615</v>
      </c>
      <c r="AH170" s="2">
        <v>149.80000000000001</v>
      </c>
      <c r="AI170" s="20">
        <f t="shared" si="9"/>
        <v>137</v>
      </c>
      <c r="AJ170" s="20">
        <f t="shared" si="10"/>
        <v>143.66666666666666</v>
      </c>
      <c r="AK170" s="20">
        <f t="shared" si="11"/>
        <v>130.58333333333334</v>
      </c>
    </row>
    <row r="171" spans="1:37" ht="26.5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133.6</v>
      </c>
      <c r="F171" s="2">
        <v>143</v>
      </c>
      <c r="G171" s="2">
        <v>129.69999999999999</v>
      </c>
      <c r="H171" s="2">
        <v>138.69999999999999</v>
      </c>
      <c r="I171" s="2">
        <v>114.5</v>
      </c>
      <c r="J171" s="2">
        <v>137.5</v>
      </c>
      <c r="K171" s="2">
        <v>160.69999999999999</v>
      </c>
      <c r="L171" s="2">
        <v>124.5</v>
      </c>
      <c r="M171" s="2">
        <v>122.4</v>
      </c>
      <c r="N171" s="2">
        <v>137.30000000000001</v>
      </c>
      <c r="O171" s="2">
        <v>124.8</v>
      </c>
      <c r="P171" s="2">
        <v>145</v>
      </c>
      <c r="Q171" s="2">
        <v>138</v>
      </c>
      <c r="R171" s="2">
        <v>153.6</v>
      </c>
      <c r="S171" s="2">
        <v>133.30000000000001</v>
      </c>
      <c r="T171" s="2">
        <v>124.6</v>
      </c>
      <c r="U171" s="2">
        <v>132</v>
      </c>
      <c r="V171" s="2">
        <v>129.1</v>
      </c>
      <c r="W171" s="2">
        <v>120.6</v>
      </c>
      <c r="X171" s="2">
        <v>128.1</v>
      </c>
      <c r="Y171" s="2">
        <v>126.1</v>
      </c>
      <c r="Z171" s="2">
        <v>115.7</v>
      </c>
      <c r="AA171" s="2">
        <v>124.5</v>
      </c>
      <c r="AB171" s="2">
        <v>135.9</v>
      </c>
      <c r="AC171" s="2">
        <v>124.4</v>
      </c>
      <c r="AD171" s="2">
        <v>124.5</v>
      </c>
      <c r="AE171" s="2">
        <v>132.4</v>
      </c>
      <c r="AG171" s="20">
        <f t="shared" si="8"/>
        <v>134.59230769230768</v>
      </c>
      <c r="AH171" s="2">
        <v>153.6</v>
      </c>
      <c r="AI171" s="20">
        <f t="shared" si="9"/>
        <v>125.93333333333332</v>
      </c>
      <c r="AJ171" s="20">
        <f t="shared" si="10"/>
        <v>129.96666666666667</v>
      </c>
      <c r="AK171" s="20">
        <f t="shared" si="11"/>
        <v>125.18333333333334</v>
      </c>
    </row>
    <row r="172" spans="1:37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134.69999999999999</v>
      </c>
      <c r="F172" s="2">
        <v>142.4</v>
      </c>
      <c r="G172" s="2">
        <v>130.19999999999999</v>
      </c>
      <c r="H172" s="2">
        <v>139.6</v>
      </c>
      <c r="I172" s="2">
        <v>118.4</v>
      </c>
      <c r="J172" s="2">
        <v>143</v>
      </c>
      <c r="K172" s="2">
        <v>156.6</v>
      </c>
      <c r="L172" s="2">
        <v>132.9</v>
      </c>
      <c r="M172" s="2">
        <v>121.5</v>
      </c>
      <c r="N172" s="2">
        <v>135.6</v>
      </c>
      <c r="O172" s="2">
        <v>128.80000000000001</v>
      </c>
      <c r="P172" s="2">
        <v>147.30000000000001</v>
      </c>
      <c r="Q172" s="2">
        <v>139</v>
      </c>
      <c r="R172" s="2">
        <v>150.80000000000001</v>
      </c>
      <c r="S172" s="2">
        <v>141.1</v>
      </c>
      <c r="T172" s="2">
        <v>133.4</v>
      </c>
      <c r="U172" s="2">
        <v>140</v>
      </c>
      <c r="V172" s="2">
        <v>128.5</v>
      </c>
      <c r="W172" s="2">
        <v>131</v>
      </c>
      <c r="X172" s="2">
        <v>133.30000000000001</v>
      </c>
      <c r="Y172" s="2">
        <v>130.6</v>
      </c>
      <c r="Z172" s="2">
        <v>118.3</v>
      </c>
      <c r="AA172" s="2">
        <v>127.9</v>
      </c>
      <c r="AB172" s="2">
        <v>137.4</v>
      </c>
      <c r="AC172" s="2">
        <v>125.7</v>
      </c>
      <c r="AD172" s="2">
        <v>127.5</v>
      </c>
      <c r="AE172" s="2">
        <v>135.19999999999999</v>
      </c>
      <c r="AG172" s="20">
        <f t="shared" si="8"/>
        <v>136.15384615384613</v>
      </c>
      <c r="AH172" s="2">
        <v>150.80000000000001</v>
      </c>
      <c r="AI172" s="20">
        <f t="shared" si="9"/>
        <v>130.93333333333334</v>
      </c>
      <c r="AJ172" s="20">
        <f t="shared" si="10"/>
        <v>138.16666666666666</v>
      </c>
      <c r="AK172" s="20">
        <f t="shared" si="11"/>
        <v>127.89999999999999</v>
      </c>
    </row>
    <row r="173" spans="1:37" ht="15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135.9</v>
      </c>
      <c r="F173" s="2">
        <v>141.9</v>
      </c>
      <c r="G173" s="2">
        <v>131</v>
      </c>
      <c r="H173" s="2">
        <v>141.5</v>
      </c>
      <c r="I173" s="2">
        <v>121.4</v>
      </c>
      <c r="J173" s="2">
        <v>146.69999999999999</v>
      </c>
      <c r="K173" s="2">
        <v>157.1</v>
      </c>
      <c r="L173" s="2">
        <v>136.4</v>
      </c>
      <c r="M173" s="2">
        <v>121.4</v>
      </c>
      <c r="N173" s="2">
        <v>135.6</v>
      </c>
      <c r="O173" s="2">
        <v>131.30000000000001</v>
      </c>
      <c r="P173" s="2">
        <v>150.30000000000001</v>
      </c>
      <c r="Q173" s="2">
        <v>140.4</v>
      </c>
      <c r="R173" s="2">
        <v>150.5</v>
      </c>
      <c r="S173" s="2">
        <v>147.19999999999999</v>
      </c>
      <c r="T173" s="2">
        <v>140.6</v>
      </c>
      <c r="U173" s="2">
        <v>146.19999999999999</v>
      </c>
      <c r="V173" s="2">
        <f>VLOOKUP($A173,'Impute housing Missing Value'!$A$1:$C$125,3,0)</f>
        <v>137.30000000000001</v>
      </c>
      <c r="W173" s="2">
        <v>138.1</v>
      </c>
      <c r="X173" s="2">
        <v>138.4</v>
      </c>
      <c r="Y173" s="2">
        <v>134.19999999999999</v>
      </c>
      <c r="Z173" s="2">
        <v>121</v>
      </c>
      <c r="AA173" s="2">
        <v>133</v>
      </c>
      <c r="AB173" s="2">
        <v>140.1</v>
      </c>
      <c r="AC173" s="2">
        <v>127.4</v>
      </c>
      <c r="AD173" s="2">
        <v>130.69999999999999</v>
      </c>
      <c r="AE173" s="2">
        <v>138.30000000000001</v>
      </c>
      <c r="AG173" s="20">
        <f t="shared" si="8"/>
        <v>137.76153846153846</v>
      </c>
      <c r="AH173" s="2">
        <v>150.5</v>
      </c>
      <c r="AI173" s="20">
        <f t="shared" si="9"/>
        <v>137.93333333333331</v>
      </c>
      <c r="AJ173" s="20">
        <f t="shared" si="10"/>
        <v>144.66666666666666</v>
      </c>
      <c r="AK173" s="20">
        <f t="shared" si="11"/>
        <v>131.06666666666663</v>
      </c>
    </row>
    <row r="174" spans="1:37" ht="15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133.9</v>
      </c>
      <c r="F174" s="2">
        <v>142.80000000000001</v>
      </c>
      <c r="G174" s="2">
        <v>131.4</v>
      </c>
      <c r="H174" s="2">
        <v>139.1</v>
      </c>
      <c r="I174" s="2">
        <v>114.9</v>
      </c>
      <c r="J174" s="2">
        <v>135.6</v>
      </c>
      <c r="K174" s="2">
        <v>173.2</v>
      </c>
      <c r="L174" s="2">
        <v>124.1</v>
      </c>
      <c r="M174" s="2">
        <v>122.6</v>
      </c>
      <c r="N174" s="2">
        <v>137.80000000000001</v>
      </c>
      <c r="O174" s="2">
        <v>125.1</v>
      </c>
      <c r="P174" s="2">
        <v>145.5</v>
      </c>
      <c r="Q174" s="2">
        <v>139.69999999999999</v>
      </c>
      <c r="R174" s="2">
        <v>154.6</v>
      </c>
      <c r="S174" s="2">
        <v>134</v>
      </c>
      <c r="T174" s="2">
        <v>124.9</v>
      </c>
      <c r="U174" s="2">
        <v>132.6</v>
      </c>
      <c r="V174" s="2">
        <v>130.5</v>
      </c>
      <c r="W174" s="2">
        <v>122.6</v>
      </c>
      <c r="X174" s="2">
        <v>128.30000000000001</v>
      </c>
      <c r="Y174" s="2">
        <v>126.6</v>
      </c>
      <c r="Z174" s="2">
        <v>115</v>
      </c>
      <c r="AA174" s="2">
        <v>124.8</v>
      </c>
      <c r="AB174" s="2">
        <v>136.30000000000001</v>
      </c>
      <c r="AC174" s="2">
        <v>124.6</v>
      </c>
      <c r="AD174" s="2">
        <v>124.5</v>
      </c>
      <c r="AE174" s="2">
        <v>133.5</v>
      </c>
      <c r="AG174" s="20">
        <f t="shared" si="8"/>
        <v>135.82307692307691</v>
      </c>
      <c r="AH174" s="2">
        <v>154.6</v>
      </c>
      <c r="AI174" s="20">
        <f t="shared" si="9"/>
        <v>127.13333333333333</v>
      </c>
      <c r="AJ174" s="20">
        <f t="shared" si="10"/>
        <v>130.5</v>
      </c>
      <c r="AK174" s="20">
        <f t="shared" si="11"/>
        <v>125.3</v>
      </c>
    </row>
    <row r="175" spans="1:37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135.30000000000001</v>
      </c>
      <c r="F175" s="2">
        <v>142.19999999999999</v>
      </c>
      <c r="G175" s="2">
        <v>131.19999999999999</v>
      </c>
      <c r="H175" s="2">
        <v>140.6</v>
      </c>
      <c r="I175" s="2">
        <v>119</v>
      </c>
      <c r="J175" s="2">
        <v>141.5</v>
      </c>
      <c r="K175" s="2">
        <v>162.6</v>
      </c>
      <c r="L175" s="2">
        <v>132.30000000000001</v>
      </c>
      <c r="M175" s="2">
        <v>121.8</v>
      </c>
      <c r="N175" s="2">
        <v>136.30000000000001</v>
      </c>
      <c r="O175" s="2">
        <v>128.69999999999999</v>
      </c>
      <c r="P175" s="2">
        <v>148.1</v>
      </c>
      <c r="Q175" s="2">
        <v>140.1</v>
      </c>
      <c r="R175" s="2">
        <v>151.6</v>
      </c>
      <c r="S175" s="2">
        <v>142</v>
      </c>
      <c r="T175" s="2">
        <v>134.1</v>
      </c>
      <c r="U175" s="2">
        <v>140.80000000000001</v>
      </c>
      <c r="V175" s="2">
        <v>131.1</v>
      </c>
      <c r="W175" s="2">
        <v>132.19999999999999</v>
      </c>
      <c r="X175" s="2">
        <v>133.6</v>
      </c>
      <c r="Y175" s="2">
        <v>131.30000000000001</v>
      </c>
      <c r="Z175" s="2">
        <v>117.8</v>
      </c>
      <c r="AA175" s="2">
        <v>128.4</v>
      </c>
      <c r="AB175" s="2">
        <v>137.9</v>
      </c>
      <c r="AC175" s="2">
        <v>126.2</v>
      </c>
      <c r="AD175" s="2">
        <v>127.7</v>
      </c>
      <c r="AE175" s="2">
        <v>136.1</v>
      </c>
      <c r="AG175" s="20">
        <f t="shared" si="8"/>
        <v>136.89999999999998</v>
      </c>
      <c r="AH175" s="2">
        <v>151.6</v>
      </c>
      <c r="AI175" s="20">
        <f t="shared" si="9"/>
        <v>132.29999999999998</v>
      </c>
      <c r="AJ175" s="20">
        <f t="shared" si="10"/>
        <v>138.96666666666667</v>
      </c>
      <c r="AK175" s="20">
        <f t="shared" si="11"/>
        <v>128.21666666666667</v>
      </c>
    </row>
    <row r="176" spans="1:37" ht="26.5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136.30000000000001</v>
      </c>
      <c r="F176" s="2">
        <v>142.5</v>
      </c>
      <c r="G176" s="2">
        <v>140.5</v>
      </c>
      <c r="H176" s="2">
        <v>141.5</v>
      </c>
      <c r="I176" s="2">
        <v>121.6</v>
      </c>
      <c r="J176" s="2">
        <v>147.30000000000001</v>
      </c>
      <c r="K176" s="2">
        <v>168</v>
      </c>
      <c r="L176" s="2">
        <v>135.80000000000001</v>
      </c>
      <c r="M176" s="2">
        <v>122.5</v>
      </c>
      <c r="N176" s="2">
        <v>136</v>
      </c>
      <c r="O176" s="2">
        <v>131.9</v>
      </c>
      <c r="P176" s="2">
        <v>151.4</v>
      </c>
      <c r="Q176" s="2">
        <v>142.4</v>
      </c>
      <c r="R176" s="2">
        <v>152.1</v>
      </c>
      <c r="S176" s="2">
        <v>148.19999999999999</v>
      </c>
      <c r="T176" s="2">
        <v>141.5</v>
      </c>
      <c r="U176" s="2">
        <v>147.30000000000001</v>
      </c>
      <c r="V176" s="2">
        <f>VLOOKUP($A176,'Impute housing Missing Value'!$A$1:$C$125,3,0)</f>
        <v>138.6</v>
      </c>
      <c r="W176" s="2">
        <v>141.1</v>
      </c>
      <c r="X176" s="2">
        <v>139.4</v>
      </c>
      <c r="Y176" s="2">
        <v>135.80000000000001</v>
      </c>
      <c r="Z176" s="2">
        <v>121.6</v>
      </c>
      <c r="AA176" s="2">
        <v>133.69999999999999</v>
      </c>
      <c r="AB176" s="2">
        <v>141.5</v>
      </c>
      <c r="AC176" s="2">
        <v>128.1</v>
      </c>
      <c r="AD176" s="2">
        <v>131.69999999999999</v>
      </c>
      <c r="AE176" s="2">
        <v>140</v>
      </c>
      <c r="AG176" s="20">
        <f t="shared" si="8"/>
        <v>139.82307692307694</v>
      </c>
      <c r="AH176" s="2">
        <v>152.1</v>
      </c>
      <c r="AI176" s="20">
        <f t="shared" si="9"/>
        <v>139.70000000000002</v>
      </c>
      <c r="AJ176" s="20">
        <f t="shared" si="10"/>
        <v>145.66666666666666</v>
      </c>
      <c r="AK176" s="20">
        <f t="shared" si="11"/>
        <v>132.06666666666663</v>
      </c>
    </row>
    <row r="177" spans="1:37" ht="26.5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134.30000000000001</v>
      </c>
      <c r="F177" s="2">
        <v>142.1</v>
      </c>
      <c r="G177" s="2">
        <v>146.69999999999999</v>
      </c>
      <c r="H177" s="2">
        <v>139.5</v>
      </c>
      <c r="I177" s="2">
        <v>115.2</v>
      </c>
      <c r="J177" s="2">
        <v>136.4</v>
      </c>
      <c r="K177" s="2">
        <v>185.2</v>
      </c>
      <c r="L177" s="2">
        <v>122.2</v>
      </c>
      <c r="M177" s="2">
        <v>123.9</v>
      </c>
      <c r="N177" s="2">
        <v>138.30000000000001</v>
      </c>
      <c r="O177" s="2">
        <v>125.4</v>
      </c>
      <c r="P177" s="2">
        <v>146</v>
      </c>
      <c r="Q177" s="2">
        <v>141.5</v>
      </c>
      <c r="R177" s="2">
        <v>156.19999999999999</v>
      </c>
      <c r="S177" s="2">
        <v>135</v>
      </c>
      <c r="T177" s="2">
        <v>125.4</v>
      </c>
      <c r="U177" s="2">
        <v>133.5</v>
      </c>
      <c r="V177" s="2">
        <v>132.1</v>
      </c>
      <c r="W177" s="2">
        <v>125.7</v>
      </c>
      <c r="X177" s="2">
        <v>128.80000000000001</v>
      </c>
      <c r="Y177" s="2">
        <v>127.4</v>
      </c>
      <c r="Z177" s="2">
        <v>115.3</v>
      </c>
      <c r="AA177" s="2">
        <v>125.1</v>
      </c>
      <c r="AB177" s="2">
        <v>136.6</v>
      </c>
      <c r="AC177" s="2">
        <v>124.9</v>
      </c>
      <c r="AD177" s="2">
        <v>124.9</v>
      </c>
      <c r="AE177" s="2">
        <v>134.80000000000001</v>
      </c>
      <c r="AG177" s="20">
        <f t="shared" si="8"/>
        <v>138.2076923076923</v>
      </c>
      <c r="AH177" s="2">
        <v>156.19999999999999</v>
      </c>
      <c r="AI177" s="20">
        <f t="shared" si="9"/>
        <v>128.86666666666667</v>
      </c>
      <c r="AJ177" s="20">
        <f t="shared" si="10"/>
        <v>131.29999999999998</v>
      </c>
      <c r="AK177" s="20">
        <f t="shared" si="11"/>
        <v>125.69999999999999</v>
      </c>
    </row>
    <row r="178" spans="1:37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135.69999999999999</v>
      </c>
      <c r="F178" s="2">
        <v>142.4</v>
      </c>
      <c r="G178" s="2">
        <v>142.9</v>
      </c>
      <c r="H178" s="2">
        <v>140.80000000000001</v>
      </c>
      <c r="I178" s="2">
        <v>119.2</v>
      </c>
      <c r="J178" s="2">
        <v>142.19999999999999</v>
      </c>
      <c r="K178" s="2">
        <v>173.8</v>
      </c>
      <c r="L178" s="2">
        <v>131.19999999999999</v>
      </c>
      <c r="M178" s="2">
        <v>123</v>
      </c>
      <c r="N178" s="2">
        <v>136.80000000000001</v>
      </c>
      <c r="O178" s="2">
        <v>129.19999999999999</v>
      </c>
      <c r="P178" s="2">
        <v>148.9</v>
      </c>
      <c r="Q178" s="2">
        <v>142.1</v>
      </c>
      <c r="R178" s="2">
        <v>153.19999999999999</v>
      </c>
      <c r="S178" s="2">
        <v>143</v>
      </c>
      <c r="T178" s="2">
        <v>134.80000000000001</v>
      </c>
      <c r="U178" s="2">
        <v>141.80000000000001</v>
      </c>
      <c r="V178" s="2">
        <v>131.4</v>
      </c>
      <c r="W178" s="2">
        <v>135.30000000000001</v>
      </c>
      <c r="X178" s="2">
        <v>134.4</v>
      </c>
      <c r="Y178" s="2">
        <v>132.6</v>
      </c>
      <c r="Z178" s="2">
        <v>118.3</v>
      </c>
      <c r="AA178" s="2">
        <v>128.9</v>
      </c>
      <c r="AB178" s="2">
        <v>138.6</v>
      </c>
      <c r="AC178" s="2">
        <v>126.8</v>
      </c>
      <c r="AD178" s="2">
        <v>128.4</v>
      </c>
      <c r="AE178" s="2">
        <v>137.6</v>
      </c>
      <c r="AG178" s="20">
        <f t="shared" si="8"/>
        <v>139.09230769230768</v>
      </c>
      <c r="AH178" s="2">
        <v>153.19999999999999</v>
      </c>
      <c r="AI178" s="20">
        <f t="shared" si="9"/>
        <v>133.70000000000002</v>
      </c>
      <c r="AJ178" s="20">
        <f t="shared" si="10"/>
        <v>139.86666666666667</v>
      </c>
      <c r="AK178" s="20">
        <f t="shared" si="11"/>
        <v>128.93333333333331</v>
      </c>
    </row>
    <row r="179" spans="1:37" ht="26.5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136.4</v>
      </c>
      <c r="F179" s="2">
        <v>143.69999999999999</v>
      </c>
      <c r="G179" s="2">
        <v>144.80000000000001</v>
      </c>
      <c r="H179" s="2">
        <v>141.9</v>
      </c>
      <c r="I179" s="2">
        <v>123.1</v>
      </c>
      <c r="J179" s="2">
        <v>147.19999999999999</v>
      </c>
      <c r="K179" s="2">
        <v>161</v>
      </c>
      <c r="L179" s="2">
        <v>133.80000000000001</v>
      </c>
      <c r="M179" s="2">
        <v>121.9</v>
      </c>
      <c r="N179" s="2">
        <v>135.80000000000001</v>
      </c>
      <c r="O179" s="2">
        <v>131.1</v>
      </c>
      <c r="P179" s="2">
        <v>151.4</v>
      </c>
      <c r="Q179" s="2">
        <v>141.5</v>
      </c>
      <c r="R179" s="2">
        <v>153.19999999999999</v>
      </c>
      <c r="S179" s="2">
        <v>148</v>
      </c>
      <c r="T179" s="2">
        <v>141.9</v>
      </c>
      <c r="U179" s="2">
        <v>147.19999999999999</v>
      </c>
      <c r="V179" s="2">
        <f>VLOOKUP($A179,'Impute housing Missing Value'!$A$1:$C$125,3,0)</f>
        <v>139.1</v>
      </c>
      <c r="W179" s="2">
        <v>142.6</v>
      </c>
      <c r="X179" s="2">
        <v>139.5</v>
      </c>
      <c r="Y179" s="2">
        <v>136.1</v>
      </c>
      <c r="Z179" s="2">
        <v>122</v>
      </c>
      <c r="AA179" s="2">
        <v>133.4</v>
      </c>
      <c r="AB179" s="2">
        <v>141.1</v>
      </c>
      <c r="AC179" s="2">
        <v>127.8</v>
      </c>
      <c r="AD179" s="2">
        <v>131.9</v>
      </c>
      <c r="AE179" s="2">
        <v>139.80000000000001</v>
      </c>
      <c r="AG179" s="20">
        <f t="shared" si="8"/>
        <v>139.50769230769231</v>
      </c>
      <c r="AH179" s="2">
        <v>153.19999999999999</v>
      </c>
      <c r="AI179" s="20">
        <f t="shared" si="9"/>
        <v>140.4</v>
      </c>
      <c r="AJ179" s="20">
        <f t="shared" si="10"/>
        <v>145.69999999999999</v>
      </c>
      <c r="AK179" s="20">
        <f t="shared" si="11"/>
        <v>132.04999999999998</v>
      </c>
    </row>
    <row r="180" spans="1:37" ht="26.5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134.4</v>
      </c>
      <c r="F180" s="2">
        <v>142.6</v>
      </c>
      <c r="G180" s="2">
        <v>145.9</v>
      </c>
      <c r="H180" s="2">
        <v>139.5</v>
      </c>
      <c r="I180" s="2">
        <v>115.9</v>
      </c>
      <c r="J180" s="2">
        <v>135</v>
      </c>
      <c r="K180" s="2">
        <v>163.19999999999999</v>
      </c>
      <c r="L180" s="2">
        <v>119.8</v>
      </c>
      <c r="M180" s="2">
        <v>120.7</v>
      </c>
      <c r="N180" s="2">
        <v>139.69999999999999</v>
      </c>
      <c r="O180" s="2">
        <v>125.7</v>
      </c>
      <c r="P180" s="2">
        <v>146.30000000000001</v>
      </c>
      <c r="Q180" s="2">
        <v>138.80000000000001</v>
      </c>
      <c r="R180" s="2">
        <v>157</v>
      </c>
      <c r="S180" s="2">
        <v>135.6</v>
      </c>
      <c r="T180" s="2">
        <v>125.6</v>
      </c>
      <c r="U180" s="2">
        <v>134</v>
      </c>
      <c r="V180" s="2">
        <v>134.4</v>
      </c>
      <c r="W180" s="2">
        <v>126.8</v>
      </c>
      <c r="X180" s="2">
        <v>129.30000000000001</v>
      </c>
      <c r="Y180" s="2">
        <v>128.19999999999999</v>
      </c>
      <c r="Z180" s="2">
        <v>115.3</v>
      </c>
      <c r="AA180" s="2">
        <v>125.6</v>
      </c>
      <c r="AB180" s="2">
        <v>136.69999999999999</v>
      </c>
      <c r="AC180" s="2">
        <v>124.6</v>
      </c>
      <c r="AD180" s="2">
        <v>125.1</v>
      </c>
      <c r="AE180" s="2">
        <v>134.1</v>
      </c>
      <c r="AG180" s="20">
        <f t="shared" si="8"/>
        <v>135.96153846153845</v>
      </c>
      <c r="AH180" s="2">
        <v>157</v>
      </c>
      <c r="AI180" s="20">
        <f t="shared" si="9"/>
        <v>130.16666666666666</v>
      </c>
      <c r="AJ180" s="20">
        <f t="shared" si="10"/>
        <v>131.73333333333332</v>
      </c>
      <c r="AK180" s="20">
        <f t="shared" si="11"/>
        <v>125.91666666666667</v>
      </c>
    </row>
    <row r="181" spans="1:37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135.80000000000001</v>
      </c>
      <c r="F181" s="2">
        <v>143.30000000000001</v>
      </c>
      <c r="G181" s="2">
        <v>145.19999999999999</v>
      </c>
      <c r="H181" s="2">
        <v>141</v>
      </c>
      <c r="I181" s="2">
        <v>120.5</v>
      </c>
      <c r="J181" s="2">
        <v>141.5</v>
      </c>
      <c r="K181" s="2">
        <v>161.69999999999999</v>
      </c>
      <c r="L181" s="2">
        <v>129.1</v>
      </c>
      <c r="M181" s="2">
        <v>121.5</v>
      </c>
      <c r="N181" s="2">
        <v>137.1</v>
      </c>
      <c r="O181" s="2">
        <v>128.80000000000001</v>
      </c>
      <c r="P181" s="2">
        <v>149</v>
      </c>
      <c r="Q181" s="2">
        <v>140.5</v>
      </c>
      <c r="R181" s="2">
        <v>154.19999999999999</v>
      </c>
      <c r="S181" s="2">
        <v>143.1</v>
      </c>
      <c r="T181" s="2">
        <v>135.1</v>
      </c>
      <c r="U181" s="2">
        <v>142</v>
      </c>
      <c r="V181" s="2">
        <v>135.69999999999999</v>
      </c>
      <c r="W181" s="2">
        <v>136.6</v>
      </c>
      <c r="X181" s="2">
        <v>134.69999999999999</v>
      </c>
      <c r="Y181" s="2">
        <v>133.1</v>
      </c>
      <c r="Z181" s="2">
        <v>118.5</v>
      </c>
      <c r="AA181" s="2">
        <v>129</v>
      </c>
      <c r="AB181" s="2">
        <v>138.5</v>
      </c>
      <c r="AC181" s="2">
        <v>126.5</v>
      </c>
      <c r="AD181" s="2">
        <v>128.6</v>
      </c>
      <c r="AE181" s="2">
        <v>137.19999999999999</v>
      </c>
      <c r="AG181" s="20">
        <f t="shared" si="8"/>
        <v>138.07692307692307</v>
      </c>
      <c r="AH181" s="2">
        <v>154.19999999999999</v>
      </c>
      <c r="AI181" s="20">
        <f t="shared" si="9"/>
        <v>135.66666666666666</v>
      </c>
      <c r="AJ181" s="20">
        <f t="shared" si="10"/>
        <v>140.06666666666666</v>
      </c>
      <c r="AK181" s="20">
        <f t="shared" si="11"/>
        <v>129.03333333333333</v>
      </c>
    </row>
    <row r="182" spans="1:37" ht="15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136.6</v>
      </c>
      <c r="F182" s="2">
        <v>144.4</v>
      </c>
      <c r="G182" s="2">
        <v>143.80000000000001</v>
      </c>
      <c r="H182" s="2">
        <v>142</v>
      </c>
      <c r="I182" s="2">
        <v>123.2</v>
      </c>
      <c r="J182" s="2">
        <v>147.9</v>
      </c>
      <c r="K182" s="2">
        <v>152.1</v>
      </c>
      <c r="L182" s="2">
        <v>131.80000000000001</v>
      </c>
      <c r="M182" s="2">
        <v>119.5</v>
      </c>
      <c r="N182" s="2">
        <v>136</v>
      </c>
      <c r="O182" s="2">
        <v>131.19999999999999</v>
      </c>
      <c r="P182" s="2">
        <v>151.80000000000001</v>
      </c>
      <c r="Q182" s="2">
        <v>140.4</v>
      </c>
      <c r="R182" s="2">
        <v>153.6</v>
      </c>
      <c r="S182" s="2">
        <v>148.30000000000001</v>
      </c>
      <c r="T182" s="2">
        <v>142.30000000000001</v>
      </c>
      <c r="U182" s="2">
        <v>147.5</v>
      </c>
      <c r="V182" s="2">
        <f>VLOOKUP($A182,'Impute housing Missing Value'!$A$1:$C$125,3,0)</f>
        <v>140.4</v>
      </c>
      <c r="W182" s="2">
        <v>142.30000000000001</v>
      </c>
      <c r="X182" s="2">
        <v>139.80000000000001</v>
      </c>
      <c r="Y182" s="2">
        <v>136</v>
      </c>
      <c r="Z182" s="2">
        <v>122.7</v>
      </c>
      <c r="AA182" s="2">
        <v>134.30000000000001</v>
      </c>
      <c r="AB182" s="2">
        <v>141.6</v>
      </c>
      <c r="AC182" s="2">
        <v>128.6</v>
      </c>
      <c r="AD182" s="2">
        <v>132.30000000000001</v>
      </c>
      <c r="AE182" s="2">
        <v>139.30000000000001</v>
      </c>
      <c r="AG182" s="20">
        <f t="shared" si="8"/>
        <v>138.51538461538462</v>
      </c>
      <c r="AH182" s="2">
        <v>153.6</v>
      </c>
      <c r="AI182" s="20">
        <f t="shared" si="9"/>
        <v>140.83333333333334</v>
      </c>
      <c r="AJ182" s="20">
        <f t="shared" si="10"/>
        <v>146.03333333333333</v>
      </c>
      <c r="AK182" s="20">
        <f t="shared" si="11"/>
        <v>132.58333333333334</v>
      </c>
    </row>
    <row r="183" spans="1:37" ht="15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134.6</v>
      </c>
      <c r="F183" s="2">
        <v>143.69999999999999</v>
      </c>
      <c r="G183" s="2">
        <v>143.6</v>
      </c>
      <c r="H183" s="2">
        <v>139.6</v>
      </c>
      <c r="I183" s="2">
        <v>116.4</v>
      </c>
      <c r="J183" s="2">
        <v>133.80000000000001</v>
      </c>
      <c r="K183" s="2">
        <v>150.5</v>
      </c>
      <c r="L183" s="2">
        <v>118.4</v>
      </c>
      <c r="M183" s="2">
        <v>117.3</v>
      </c>
      <c r="N183" s="2">
        <v>140.5</v>
      </c>
      <c r="O183" s="2">
        <v>125.9</v>
      </c>
      <c r="P183" s="2">
        <v>146.80000000000001</v>
      </c>
      <c r="Q183" s="2">
        <v>137.19999999999999</v>
      </c>
      <c r="R183" s="2">
        <v>157.69999999999999</v>
      </c>
      <c r="S183" s="2">
        <v>136</v>
      </c>
      <c r="T183" s="2">
        <v>125.9</v>
      </c>
      <c r="U183" s="2">
        <v>134.4</v>
      </c>
      <c r="V183" s="2">
        <v>138.6</v>
      </c>
      <c r="W183" s="2">
        <v>127.3</v>
      </c>
      <c r="X183" s="2">
        <v>129.5</v>
      </c>
      <c r="Y183" s="2">
        <v>129</v>
      </c>
      <c r="Z183" s="2">
        <v>116.3</v>
      </c>
      <c r="AA183" s="2">
        <v>126.2</v>
      </c>
      <c r="AB183" s="2">
        <v>137.1</v>
      </c>
      <c r="AC183" s="2">
        <v>125.5</v>
      </c>
      <c r="AD183" s="2">
        <v>125.8</v>
      </c>
      <c r="AE183" s="2">
        <v>134.1</v>
      </c>
      <c r="AG183" s="20">
        <f t="shared" si="8"/>
        <v>134.48461538461541</v>
      </c>
      <c r="AH183" s="2">
        <v>157.69999999999999</v>
      </c>
      <c r="AI183" s="20">
        <f t="shared" si="9"/>
        <v>131.79999999999998</v>
      </c>
      <c r="AJ183" s="20">
        <f t="shared" si="10"/>
        <v>132.1</v>
      </c>
      <c r="AK183" s="20">
        <f t="shared" si="11"/>
        <v>126.64999999999999</v>
      </c>
    </row>
    <row r="184" spans="1:37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</v>
      </c>
      <c r="F184" s="2">
        <v>144.19999999999999</v>
      </c>
      <c r="G184" s="2">
        <v>143.69999999999999</v>
      </c>
      <c r="H184" s="2">
        <v>141.1</v>
      </c>
      <c r="I184" s="2">
        <v>120.7</v>
      </c>
      <c r="J184" s="2">
        <v>141.30000000000001</v>
      </c>
      <c r="K184" s="2">
        <v>151.6</v>
      </c>
      <c r="L184" s="2">
        <v>127.3</v>
      </c>
      <c r="M184" s="2">
        <v>118.8</v>
      </c>
      <c r="N184" s="2">
        <v>137.5</v>
      </c>
      <c r="O184" s="2">
        <v>129</v>
      </c>
      <c r="P184" s="2">
        <v>149.5</v>
      </c>
      <c r="Q184" s="2">
        <v>139.19999999999999</v>
      </c>
      <c r="R184" s="2">
        <v>154.69999999999999</v>
      </c>
      <c r="S184" s="2">
        <v>143.5</v>
      </c>
      <c r="T184" s="2">
        <v>135.5</v>
      </c>
      <c r="U184" s="2">
        <v>142.30000000000001</v>
      </c>
      <c r="V184" s="2">
        <v>139.1</v>
      </c>
      <c r="W184" s="2">
        <v>136.6</v>
      </c>
      <c r="X184" s="2">
        <v>134.9</v>
      </c>
      <c r="Y184" s="2">
        <v>133.30000000000001</v>
      </c>
      <c r="Z184" s="2">
        <v>119.3</v>
      </c>
      <c r="AA184" s="2">
        <v>129.69999999999999</v>
      </c>
      <c r="AB184" s="2">
        <v>139</v>
      </c>
      <c r="AC184" s="2">
        <v>127.3</v>
      </c>
      <c r="AD184" s="2">
        <v>129.1</v>
      </c>
      <c r="AE184" s="2">
        <v>136.9</v>
      </c>
      <c r="AG184" s="20">
        <f t="shared" si="8"/>
        <v>136.91538461538462</v>
      </c>
      <c r="AH184" s="2">
        <v>154.69999999999999</v>
      </c>
      <c r="AI184" s="20">
        <f t="shared" si="9"/>
        <v>136.86666666666667</v>
      </c>
      <c r="AJ184" s="20">
        <f t="shared" si="10"/>
        <v>140.43333333333334</v>
      </c>
      <c r="AK184" s="20">
        <f t="shared" si="11"/>
        <v>129.61666666666665</v>
      </c>
    </row>
    <row r="185" spans="1:37" ht="15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136.4</v>
      </c>
      <c r="F185" s="2">
        <v>143.69999999999999</v>
      </c>
      <c r="G185" s="2">
        <v>140.6</v>
      </c>
      <c r="H185" s="2">
        <v>141.5</v>
      </c>
      <c r="I185" s="2">
        <v>122.9</v>
      </c>
      <c r="J185" s="2">
        <v>149.4</v>
      </c>
      <c r="K185" s="2">
        <v>142.4</v>
      </c>
      <c r="L185" s="2">
        <v>130.19999999999999</v>
      </c>
      <c r="M185" s="2">
        <v>117.9</v>
      </c>
      <c r="N185" s="2">
        <v>135.6</v>
      </c>
      <c r="O185" s="2">
        <v>130.5</v>
      </c>
      <c r="P185" s="2">
        <v>151.69999999999999</v>
      </c>
      <c r="Q185" s="2">
        <v>138.69999999999999</v>
      </c>
      <c r="R185" s="2">
        <v>153.30000000000001</v>
      </c>
      <c r="S185" s="2">
        <v>148.69999999999999</v>
      </c>
      <c r="T185" s="2">
        <v>142.4</v>
      </c>
      <c r="U185" s="2">
        <v>147.80000000000001</v>
      </c>
      <c r="V185" s="2">
        <f>VLOOKUP($A185,'Impute housing Missing Value'!$A$1:$C$125,3,0)</f>
        <v>141.30000000000001</v>
      </c>
      <c r="W185" s="2">
        <v>142.4</v>
      </c>
      <c r="X185" s="2">
        <v>139.9</v>
      </c>
      <c r="Y185" s="2">
        <v>136.19999999999999</v>
      </c>
      <c r="Z185" s="2">
        <v>123.3</v>
      </c>
      <c r="AA185" s="2">
        <v>134.30000000000001</v>
      </c>
      <c r="AB185" s="2">
        <v>141.5</v>
      </c>
      <c r="AC185" s="2">
        <v>128.80000000000001</v>
      </c>
      <c r="AD185" s="2">
        <v>132.5</v>
      </c>
      <c r="AE185" s="2">
        <v>138.5</v>
      </c>
      <c r="AG185" s="20">
        <f t="shared" si="8"/>
        <v>137.03846153846155</v>
      </c>
      <c r="AH185" s="2">
        <v>153.30000000000001</v>
      </c>
      <c r="AI185" s="20">
        <f t="shared" si="9"/>
        <v>141.20000000000002</v>
      </c>
      <c r="AJ185" s="20">
        <f t="shared" si="10"/>
        <v>146.30000000000001</v>
      </c>
      <c r="AK185" s="20">
        <f t="shared" si="11"/>
        <v>132.76666666666665</v>
      </c>
    </row>
    <row r="186" spans="1:37" ht="15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134.80000000000001</v>
      </c>
      <c r="F186" s="2">
        <v>143</v>
      </c>
      <c r="G186" s="2">
        <v>139.9</v>
      </c>
      <c r="H186" s="2">
        <v>139.9</v>
      </c>
      <c r="I186" s="2">
        <v>116.2</v>
      </c>
      <c r="J186" s="2">
        <v>135.5</v>
      </c>
      <c r="K186" s="2">
        <v>136.9</v>
      </c>
      <c r="L186" s="2">
        <v>117</v>
      </c>
      <c r="M186" s="2">
        <v>115.4</v>
      </c>
      <c r="N186" s="2">
        <v>140.69999999999999</v>
      </c>
      <c r="O186" s="2">
        <v>125.9</v>
      </c>
      <c r="P186" s="2">
        <v>147.1</v>
      </c>
      <c r="Q186" s="2">
        <v>135.6</v>
      </c>
      <c r="R186" s="2">
        <v>159.30000000000001</v>
      </c>
      <c r="S186" s="2">
        <v>136.30000000000001</v>
      </c>
      <c r="T186" s="2">
        <v>126.1</v>
      </c>
      <c r="U186" s="2">
        <v>134.69999999999999</v>
      </c>
      <c r="V186" s="2">
        <v>141.30000000000001</v>
      </c>
      <c r="W186" s="2">
        <v>127.3</v>
      </c>
      <c r="X186" s="2">
        <v>129.9</v>
      </c>
      <c r="Y186" s="2">
        <v>129.80000000000001</v>
      </c>
      <c r="Z186" s="2">
        <v>117.4</v>
      </c>
      <c r="AA186" s="2">
        <v>126.5</v>
      </c>
      <c r="AB186" s="2">
        <v>137.19999999999999</v>
      </c>
      <c r="AC186" s="2">
        <v>126.2</v>
      </c>
      <c r="AD186" s="2">
        <v>126.5</v>
      </c>
      <c r="AE186" s="2">
        <v>134</v>
      </c>
      <c r="AG186" s="20">
        <f t="shared" si="8"/>
        <v>132.91538461538462</v>
      </c>
      <c r="AH186" s="2">
        <v>159.30000000000001</v>
      </c>
      <c r="AI186" s="20">
        <f t="shared" si="9"/>
        <v>132.83333333333334</v>
      </c>
      <c r="AJ186" s="20">
        <f t="shared" si="10"/>
        <v>132.36666666666665</v>
      </c>
      <c r="AK186" s="20">
        <f t="shared" si="11"/>
        <v>127.26666666666667</v>
      </c>
    </row>
    <row r="187" spans="1:37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135.9</v>
      </c>
      <c r="F187" s="2">
        <v>143.5</v>
      </c>
      <c r="G187" s="2">
        <v>140.30000000000001</v>
      </c>
      <c r="H187" s="2">
        <v>140.9</v>
      </c>
      <c r="I187" s="2">
        <v>120.4</v>
      </c>
      <c r="J187" s="2">
        <v>142.9</v>
      </c>
      <c r="K187" s="2">
        <v>140.5</v>
      </c>
      <c r="L187" s="2">
        <v>125.8</v>
      </c>
      <c r="M187" s="2">
        <v>117.1</v>
      </c>
      <c r="N187" s="2">
        <v>137.30000000000001</v>
      </c>
      <c r="O187" s="2">
        <v>128.6</v>
      </c>
      <c r="P187" s="2">
        <v>149.6</v>
      </c>
      <c r="Q187" s="2">
        <v>137.6</v>
      </c>
      <c r="R187" s="2">
        <v>154.9</v>
      </c>
      <c r="S187" s="2">
        <v>143.80000000000001</v>
      </c>
      <c r="T187" s="2">
        <v>135.6</v>
      </c>
      <c r="U187" s="2">
        <v>142.6</v>
      </c>
      <c r="V187" s="2">
        <v>142</v>
      </c>
      <c r="W187" s="2">
        <v>136.69999999999999</v>
      </c>
      <c r="X187" s="2">
        <v>135.19999999999999</v>
      </c>
      <c r="Y187" s="2">
        <v>133.80000000000001</v>
      </c>
      <c r="Z187" s="2">
        <v>120.2</v>
      </c>
      <c r="AA187" s="2">
        <v>129.9</v>
      </c>
      <c r="AB187" s="2">
        <v>139</v>
      </c>
      <c r="AC187" s="2">
        <v>127.7</v>
      </c>
      <c r="AD187" s="2">
        <v>129.6</v>
      </c>
      <c r="AE187" s="2">
        <v>136.4</v>
      </c>
      <c r="AG187" s="20">
        <f t="shared" si="8"/>
        <v>135.4153846153846</v>
      </c>
      <c r="AH187" s="2">
        <v>154.9</v>
      </c>
      <c r="AI187" s="20">
        <f t="shared" si="9"/>
        <v>137.96666666666667</v>
      </c>
      <c r="AJ187" s="20">
        <f t="shared" si="10"/>
        <v>140.66666666666666</v>
      </c>
      <c r="AK187" s="20">
        <f t="shared" si="11"/>
        <v>130.03333333333333</v>
      </c>
    </row>
    <row r="188" spans="1:37" ht="15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136.80000000000001</v>
      </c>
      <c r="F188" s="2">
        <v>143.80000000000001</v>
      </c>
      <c r="G188" s="2">
        <v>140</v>
      </c>
      <c r="H188" s="2">
        <v>142</v>
      </c>
      <c r="I188" s="2">
        <v>123.2</v>
      </c>
      <c r="J188" s="2">
        <v>152.9</v>
      </c>
      <c r="K188" s="2">
        <v>138</v>
      </c>
      <c r="L188" s="2">
        <v>129.30000000000001</v>
      </c>
      <c r="M188" s="2">
        <v>117.1</v>
      </c>
      <c r="N188" s="2">
        <v>136.30000000000001</v>
      </c>
      <c r="O188" s="2">
        <v>131.19999999999999</v>
      </c>
      <c r="P188" s="2">
        <v>152.80000000000001</v>
      </c>
      <c r="Q188" s="2">
        <v>138.6</v>
      </c>
      <c r="R188" s="2">
        <v>155.1</v>
      </c>
      <c r="S188" s="2">
        <v>149.19999999999999</v>
      </c>
      <c r="T188" s="2">
        <v>143</v>
      </c>
      <c r="U188" s="2">
        <v>148.30000000000001</v>
      </c>
      <c r="V188" s="2">
        <f>VLOOKUP($A188,'Impute housing Missing Value'!$A$1:$C$125,3,0)</f>
        <v>142</v>
      </c>
      <c r="W188" s="2">
        <v>142.6</v>
      </c>
      <c r="X188" s="2">
        <v>139.9</v>
      </c>
      <c r="Y188" s="2">
        <v>136.69999999999999</v>
      </c>
      <c r="Z188" s="2">
        <v>124.6</v>
      </c>
      <c r="AA188" s="2">
        <v>135.1</v>
      </c>
      <c r="AB188" s="2">
        <v>142.69999999999999</v>
      </c>
      <c r="AC188" s="2">
        <v>129.30000000000001</v>
      </c>
      <c r="AD188" s="2">
        <v>133.30000000000001</v>
      </c>
      <c r="AE188" s="2">
        <v>138.69999999999999</v>
      </c>
      <c r="AG188" s="20">
        <f t="shared" si="8"/>
        <v>137.07692307692307</v>
      </c>
      <c r="AH188" s="2">
        <v>155.1</v>
      </c>
      <c r="AI188" s="20">
        <f t="shared" si="9"/>
        <v>141.5</v>
      </c>
      <c r="AJ188" s="20">
        <f t="shared" si="10"/>
        <v>146.83333333333334</v>
      </c>
      <c r="AK188" s="20">
        <f t="shared" si="11"/>
        <v>133.61666666666665</v>
      </c>
    </row>
    <row r="189" spans="1:37" ht="15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135</v>
      </c>
      <c r="F189" s="2">
        <v>143.1</v>
      </c>
      <c r="G189" s="2">
        <v>135.5</v>
      </c>
      <c r="H189" s="2">
        <v>139.9</v>
      </c>
      <c r="I189" s="2">
        <v>116.5</v>
      </c>
      <c r="J189" s="2">
        <v>138.5</v>
      </c>
      <c r="K189" s="2">
        <v>128</v>
      </c>
      <c r="L189" s="2">
        <v>115.5</v>
      </c>
      <c r="M189" s="2">
        <v>114.2</v>
      </c>
      <c r="N189" s="2">
        <v>140.69999999999999</v>
      </c>
      <c r="O189" s="2">
        <v>126.2</v>
      </c>
      <c r="P189" s="2">
        <v>147.6</v>
      </c>
      <c r="Q189" s="2">
        <v>134.80000000000001</v>
      </c>
      <c r="R189" s="2">
        <v>159.69999999999999</v>
      </c>
      <c r="S189" s="2">
        <v>136.69999999999999</v>
      </c>
      <c r="T189" s="2">
        <v>126.7</v>
      </c>
      <c r="U189" s="2">
        <v>135.19999999999999</v>
      </c>
      <c r="V189" s="2">
        <v>143.19999999999999</v>
      </c>
      <c r="W189" s="2">
        <v>126.4</v>
      </c>
      <c r="X189" s="2">
        <v>130.80000000000001</v>
      </c>
      <c r="Y189" s="2">
        <v>130.5</v>
      </c>
      <c r="Z189" s="2">
        <v>117.8</v>
      </c>
      <c r="AA189" s="2">
        <v>126.8</v>
      </c>
      <c r="AB189" s="2">
        <v>137.80000000000001</v>
      </c>
      <c r="AC189" s="2">
        <v>126.7</v>
      </c>
      <c r="AD189" s="2">
        <v>127.1</v>
      </c>
      <c r="AE189" s="2">
        <v>134</v>
      </c>
      <c r="AG189" s="20">
        <f t="shared" si="8"/>
        <v>131.96153846153845</v>
      </c>
      <c r="AH189" s="2">
        <v>159.69999999999999</v>
      </c>
      <c r="AI189" s="20">
        <f t="shared" si="9"/>
        <v>133.46666666666667</v>
      </c>
      <c r="AJ189" s="20">
        <f t="shared" si="10"/>
        <v>132.86666666666665</v>
      </c>
      <c r="AK189" s="20">
        <f t="shared" si="11"/>
        <v>127.78333333333336</v>
      </c>
    </row>
    <row r="190" spans="1:37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136.19999999999999</v>
      </c>
      <c r="F190" s="2">
        <v>143.6</v>
      </c>
      <c r="G190" s="2">
        <v>138.30000000000001</v>
      </c>
      <c r="H190" s="2">
        <v>141.19999999999999</v>
      </c>
      <c r="I190" s="2">
        <v>120.7</v>
      </c>
      <c r="J190" s="2">
        <v>146.19999999999999</v>
      </c>
      <c r="K190" s="2">
        <v>134.6</v>
      </c>
      <c r="L190" s="2">
        <v>124.6</v>
      </c>
      <c r="M190" s="2">
        <v>116.1</v>
      </c>
      <c r="N190" s="2">
        <v>137.80000000000001</v>
      </c>
      <c r="O190" s="2">
        <v>129.1</v>
      </c>
      <c r="P190" s="2">
        <v>150.4</v>
      </c>
      <c r="Q190" s="2">
        <v>137.19999999999999</v>
      </c>
      <c r="R190" s="2">
        <v>156.30000000000001</v>
      </c>
      <c r="S190" s="2">
        <v>144.30000000000001</v>
      </c>
      <c r="T190" s="2">
        <v>136.19999999999999</v>
      </c>
      <c r="U190" s="2">
        <v>143.1</v>
      </c>
      <c r="V190" s="2">
        <v>142.5</v>
      </c>
      <c r="W190" s="2">
        <v>136.5</v>
      </c>
      <c r="X190" s="2">
        <v>135.6</v>
      </c>
      <c r="Y190" s="2">
        <v>134.30000000000001</v>
      </c>
      <c r="Z190" s="2">
        <v>121</v>
      </c>
      <c r="AA190" s="2">
        <v>130.4</v>
      </c>
      <c r="AB190" s="2">
        <v>139.80000000000001</v>
      </c>
      <c r="AC190" s="2">
        <v>128.19999999999999</v>
      </c>
      <c r="AD190" s="2">
        <v>130.30000000000001</v>
      </c>
      <c r="AE190" s="2">
        <v>136.5</v>
      </c>
      <c r="AG190" s="20">
        <f t="shared" si="8"/>
        <v>135.07692307692307</v>
      </c>
      <c r="AH190" s="2">
        <v>156.30000000000001</v>
      </c>
      <c r="AI190" s="20">
        <f t="shared" si="9"/>
        <v>138.20000000000002</v>
      </c>
      <c r="AJ190" s="20">
        <f t="shared" si="10"/>
        <v>141.20000000000002</v>
      </c>
      <c r="AK190" s="20">
        <f t="shared" si="11"/>
        <v>130.66666666666666</v>
      </c>
    </row>
    <row r="191" spans="1:37" ht="15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137.1</v>
      </c>
      <c r="F191" s="2">
        <v>144.5</v>
      </c>
      <c r="G191" s="2">
        <v>135.9</v>
      </c>
      <c r="H191" s="2">
        <v>142.4</v>
      </c>
      <c r="I191" s="2">
        <v>123.5</v>
      </c>
      <c r="J191" s="2">
        <v>156.4</v>
      </c>
      <c r="K191" s="2">
        <v>135.1</v>
      </c>
      <c r="L191" s="2">
        <v>128.4</v>
      </c>
      <c r="M191" s="2">
        <v>115.2</v>
      </c>
      <c r="N191" s="2">
        <v>137.19999999999999</v>
      </c>
      <c r="O191" s="2">
        <v>131.9</v>
      </c>
      <c r="P191" s="2">
        <v>153.80000000000001</v>
      </c>
      <c r="Q191" s="2">
        <v>138.6</v>
      </c>
      <c r="R191" s="2">
        <v>156.1</v>
      </c>
      <c r="S191" s="2">
        <v>150.1</v>
      </c>
      <c r="T191" s="2">
        <v>143.30000000000001</v>
      </c>
      <c r="U191" s="2">
        <v>149.1</v>
      </c>
      <c r="V191" s="2">
        <f>VLOOKUP($A191,'Impute housing Missing Value'!$A$1:$C$125,3,0)</f>
        <v>142.9</v>
      </c>
      <c r="W191" s="2">
        <v>143.80000000000001</v>
      </c>
      <c r="X191" s="2">
        <v>140.9</v>
      </c>
      <c r="Y191" s="2">
        <v>137.6</v>
      </c>
      <c r="Z191" s="2">
        <v>125.3</v>
      </c>
      <c r="AA191" s="2">
        <v>136</v>
      </c>
      <c r="AB191" s="2">
        <v>143.69999999999999</v>
      </c>
      <c r="AC191" s="2">
        <v>130.4</v>
      </c>
      <c r="AD191" s="2">
        <v>134.19999999999999</v>
      </c>
      <c r="AE191" s="2">
        <v>139.1</v>
      </c>
      <c r="AG191" s="20">
        <f t="shared" si="8"/>
        <v>136.92307692307693</v>
      </c>
      <c r="AH191" s="2">
        <v>156.1</v>
      </c>
      <c r="AI191" s="20">
        <f t="shared" si="9"/>
        <v>142.53333333333333</v>
      </c>
      <c r="AJ191" s="20">
        <f t="shared" si="10"/>
        <v>147.5</v>
      </c>
      <c r="AK191" s="20">
        <f t="shared" si="11"/>
        <v>134.5333333333333</v>
      </c>
    </row>
    <row r="192" spans="1:37" ht="15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135</v>
      </c>
      <c r="F192" s="2">
        <v>144.30000000000001</v>
      </c>
      <c r="G192" s="2">
        <v>130.80000000000001</v>
      </c>
      <c r="H192" s="2">
        <v>140.30000000000001</v>
      </c>
      <c r="I192" s="2">
        <v>116.6</v>
      </c>
      <c r="J192" s="2">
        <v>150.1</v>
      </c>
      <c r="K192" s="2">
        <v>127.6</v>
      </c>
      <c r="L192" s="2">
        <v>114</v>
      </c>
      <c r="M192" s="2">
        <v>110.6</v>
      </c>
      <c r="N192" s="2">
        <v>140.19999999999999</v>
      </c>
      <c r="O192" s="2">
        <v>126.5</v>
      </c>
      <c r="P192" s="2">
        <v>148.30000000000001</v>
      </c>
      <c r="Q192" s="2">
        <v>135.69999999999999</v>
      </c>
      <c r="R192" s="2">
        <v>159.19999999999999</v>
      </c>
      <c r="S192" s="2">
        <v>137.80000000000001</v>
      </c>
      <c r="T192" s="2">
        <v>127.4</v>
      </c>
      <c r="U192" s="2">
        <v>136.19999999999999</v>
      </c>
      <c r="V192" s="2">
        <v>144.6</v>
      </c>
      <c r="W192" s="2">
        <v>124.6</v>
      </c>
      <c r="X192" s="2">
        <v>131.80000000000001</v>
      </c>
      <c r="Y192" s="2">
        <v>131.30000000000001</v>
      </c>
      <c r="Z192" s="2">
        <v>118.9</v>
      </c>
      <c r="AA192" s="2">
        <v>127.6</v>
      </c>
      <c r="AB192" s="2">
        <v>139.69999999999999</v>
      </c>
      <c r="AC192" s="2">
        <v>127.6</v>
      </c>
      <c r="AD192" s="2">
        <v>128.19999999999999</v>
      </c>
      <c r="AE192" s="2">
        <v>134.80000000000001</v>
      </c>
      <c r="AG192" s="20">
        <f t="shared" si="8"/>
        <v>132.30769230769232</v>
      </c>
      <c r="AH192" s="2">
        <v>159.19999999999999</v>
      </c>
      <c r="AI192" s="20">
        <f t="shared" si="9"/>
        <v>133.66666666666666</v>
      </c>
      <c r="AJ192" s="20">
        <f t="shared" si="10"/>
        <v>133.80000000000001</v>
      </c>
      <c r="AK192" s="20">
        <f t="shared" si="11"/>
        <v>128.88333333333333</v>
      </c>
    </row>
    <row r="193" spans="1:37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136.4</v>
      </c>
      <c r="F193" s="2">
        <v>144.4</v>
      </c>
      <c r="G193" s="2">
        <v>133.9</v>
      </c>
      <c r="H193" s="2">
        <v>141.6</v>
      </c>
      <c r="I193" s="2">
        <v>121</v>
      </c>
      <c r="J193" s="2">
        <v>153.5</v>
      </c>
      <c r="K193" s="2">
        <v>132.6</v>
      </c>
      <c r="L193" s="2">
        <v>123.5</v>
      </c>
      <c r="M193" s="2">
        <v>113.7</v>
      </c>
      <c r="N193" s="2">
        <v>138.19999999999999</v>
      </c>
      <c r="O193" s="2">
        <v>129.6</v>
      </c>
      <c r="P193" s="2">
        <v>151.19999999999999</v>
      </c>
      <c r="Q193" s="2">
        <v>137.5</v>
      </c>
      <c r="R193" s="2">
        <v>156.9</v>
      </c>
      <c r="S193" s="2">
        <v>145.30000000000001</v>
      </c>
      <c r="T193" s="2">
        <v>136.69999999999999</v>
      </c>
      <c r="U193" s="2">
        <v>144</v>
      </c>
      <c r="V193" s="2">
        <v>145.30000000000001</v>
      </c>
      <c r="W193" s="2">
        <v>136.5</v>
      </c>
      <c r="X193" s="2">
        <v>136.6</v>
      </c>
      <c r="Y193" s="2">
        <v>135.19999999999999</v>
      </c>
      <c r="Z193" s="2">
        <v>121.9</v>
      </c>
      <c r="AA193" s="2">
        <v>131.30000000000001</v>
      </c>
      <c r="AB193" s="2">
        <v>141.4</v>
      </c>
      <c r="AC193" s="2">
        <v>129.19999999999999</v>
      </c>
      <c r="AD193" s="2">
        <v>131.30000000000001</v>
      </c>
      <c r="AE193" s="2">
        <v>137.1</v>
      </c>
      <c r="AG193" s="20">
        <f t="shared" si="8"/>
        <v>135.16153846153847</v>
      </c>
      <c r="AH193" s="2">
        <v>156.9</v>
      </c>
      <c r="AI193" s="20">
        <f t="shared" si="9"/>
        <v>139.46666666666667</v>
      </c>
      <c r="AJ193" s="20">
        <f t="shared" si="10"/>
        <v>142</v>
      </c>
      <c r="AK193" s="20">
        <f t="shared" si="11"/>
        <v>131.71666666666667</v>
      </c>
    </row>
    <row r="194" spans="1:37" ht="15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137.4</v>
      </c>
      <c r="F194" s="2">
        <v>145.69999999999999</v>
      </c>
      <c r="G194" s="2">
        <v>135.5</v>
      </c>
      <c r="H194" s="2">
        <v>142.9</v>
      </c>
      <c r="I194" s="2">
        <v>123.6</v>
      </c>
      <c r="J194" s="2">
        <v>157.5</v>
      </c>
      <c r="K194" s="2">
        <v>137.80000000000001</v>
      </c>
      <c r="L194" s="2">
        <v>127.2</v>
      </c>
      <c r="M194" s="2">
        <v>111.8</v>
      </c>
      <c r="N194" s="2">
        <v>137.4</v>
      </c>
      <c r="O194" s="2">
        <v>132.19999999999999</v>
      </c>
      <c r="P194" s="2">
        <v>154.30000000000001</v>
      </c>
      <c r="Q194" s="2">
        <v>139.1</v>
      </c>
      <c r="R194" s="2">
        <v>157</v>
      </c>
      <c r="S194" s="2">
        <v>150.80000000000001</v>
      </c>
      <c r="T194" s="2">
        <v>144.1</v>
      </c>
      <c r="U194" s="2">
        <v>149.80000000000001</v>
      </c>
      <c r="V194" s="2">
        <f>VLOOKUP($A194,'Impute housing Missing Value'!$A$1:$C$125,3,0)</f>
        <v>143.19999999999999</v>
      </c>
      <c r="W194" s="2">
        <v>144.30000000000001</v>
      </c>
      <c r="X194" s="2">
        <v>141.80000000000001</v>
      </c>
      <c r="Y194" s="2">
        <v>138.4</v>
      </c>
      <c r="Z194" s="2">
        <v>126.4</v>
      </c>
      <c r="AA194" s="2">
        <v>136.80000000000001</v>
      </c>
      <c r="AB194" s="2">
        <v>144.4</v>
      </c>
      <c r="AC194" s="2">
        <v>131.19999999999999</v>
      </c>
      <c r="AD194" s="2">
        <v>135.1</v>
      </c>
      <c r="AE194" s="2">
        <v>139.80000000000001</v>
      </c>
      <c r="AG194" s="20">
        <f t="shared" si="8"/>
        <v>137.1076923076923</v>
      </c>
      <c r="AH194" s="2">
        <v>157</v>
      </c>
      <c r="AI194" s="20">
        <f t="shared" si="9"/>
        <v>143.1</v>
      </c>
      <c r="AJ194" s="20">
        <f t="shared" si="10"/>
        <v>148.23333333333332</v>
      </c>
      <c r="AK194" s="20">
        <f t="shared" si="11"/>
        <v>135.38333333333335</v>
      </c>
    </row>
    <row r="195" spans="1:37" ht="15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</v>
      </c>
      <c r="F195" s="2">
        <v>148.19999999999999</v>
      </c>
      <c r="G195" s="2">
        <v>130.5</v>
      </c>
      <c r="H195" s="2">
        <v>140.69999999999999</v>
      </c>
      <c r="I195" s="2">
        <v>116.4</v>
      </c>
      <c r="J195" s="2">
        <v>151.30000000000001</v>
      </c>
      <c r="K195" s="2">
        <v>131.4</v>
      </c>
      <c r="L195" s="2">
        <v>112.8</v>
      </c>
      <c r="M195" s="2">
        <v>105.3</v>
      </c>
      <c r="N195" s="2">
        <v>139.6</v>
      </c>
      <c r="O195" s="2">
        <v>126.6</v>
      </c>
      <c r="P195" s="2">
        <v>148.69999999999999</v>
      </c>
      <c r="Q195" s="2">
        <v>136.4</v>
      </c>
      <c r="R195" s="2">
        <v>160.30000000000001</v>
      </c>
      <c r="S195" s="2">
        <v>138.6</v>
      </c>
      <c r="T195" s="2">
        <v>127.9</v>
      </c>
      <c r="U195" s="2">
        <v>137</v>
      </c>
      <c r="V195" s="2">
        <v>146.9</v>
      </c>
      <c r="W195" s="2">
        <v>124.7</v>
      </c>
      <c r="X195" s="2">
        <v>132.5</v>
      </c>
      <c r="Y195" s="2">
        <v>132</v>
      </c>
      <c r="Z195" s="2">
        <v>119.8</v>
      </c>
      <c r="AA195" s="2">
        <v>128</v>
      </c>
      <c r="AB195" s="2">
        <v>140.4</v>
      </c>
      <c r="AC195" s="2">
        <v>128.1</v>
      </c>
      <c r="AD195" s="2">
        <v>128.9</v>
      </c>
      <c r="AE195" s="2">
        <v>135.4</v>
      </c>
      <c r="AG195" s="20">
        <f t="shared" ref="AG195:AG258" si="12">AVERAGE(E195:Q195)</f>
        <v>132.53076923076921</v>
      </c>
      <c r="AH195" s="2">
        <v>160.30000000000001</v>
      </c>
      <c r="AI195" s="20">
        <f t="shared" ref="AI195:AI258" si="13">AVERAGE(V195:X195)</f>
        <v>134.70000000000002</v>
      </c>
      <c r="AJ195" s="20">
        <f t="shared" ref="AJ195:AJ258" si="14">AVERAGE(S195:U195)</f>
        <v>134.5</v>
      </c>
      <c r="AK195" s="20">
        <f t="shared" ref="AK195:AK258" si="15">AVERAGE(Y195:AD195)</f>
        <v>129.53333333333333</v>
      </c>
    </row>
    <row r="196" spans="1:37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136.6</v>
      </c>
      <c r="F196" s="2">
        <v>146.6</v>
      </c>
      <c r="G196" s="2">
        <v>133.6</v>
      </c>
      <c r="H196" s="2">
        <v>142.1</v>
      </c>
      <c r="I196" s="2">
        <v>121</v>
      </c>
      <c r="J196" s="2">
        <v>154.6</v>
      </c>
      <c r="K196" s="2">
        <v>135.6</v>
      </c>
      <c r="L196" s="2">
        <v>122.3</v>
      </c>
      <c r="M196" s="2">
        <v>109.6</v>
      </c>
      <c r="N196" s="2">
        <v>138.1</v>
      </c>
      <c r="O196" s="2">
        <v>129.9</v>
      </c>
      <c r="P196" s="2">
        <v>151.69999999999999</v>
      </c>
      <c r="Q196" s="2">
        <v>138.1</v>
      </c>
      <c r="R196" s="2">
        <v>157.9</v>
      </c>
      <c r="S196" s="2">
        <v>146</v>
      </c>
      <c r="T196" s="2">
        <v>137.4</v>
      </c>
      <c r="U196" s="2">
        <v>144.69999999999999</v>
      </c>
      <c r="V196" s="2">
        <v>146.5</v>
      </c>
      <c r="W196" s="2">
        <v>136.9</v>
      </c>
      <c r="X196" s="2">
        <v>137.4</v>
      </c>
      <c r="Y196" s="2">
        <v>136</v>
      </c>
      <c r="Z196" s="2">
        <v>122.9</v>
      </c>
      <c r="AA196" s="2">
        <v>131.80000000000001</v>
      </c>
      <c r="AB196" s="2">
        <v>142.1</v>
      </c>
      <c r="AC196" s="2">
        <v>129.9</v>
      </c>
      <c r="AD196" s="2">
        <v>132.1</v>
      </c>
      <c r="AE196" s="2">
        <v>137.80000000000001</v>
      </c>
      <c r="AG196" s="20">
        <f t="shared" si="12"/>
        <v>135.36923076923077</v>
      </c>
      <c r="AH196" s="2">
        <v>157.9</v>
      </c>
      <c r="AI196" s="20">
        <f t="shared" si="13"/>
        <v>140.26666666666665</v>
      </c>
      <c r="AJ196" s="20">
        <f t="shared" si="14"/>
        <v>142.69999999999999</v>
      </c>
      <c r="AK196" s="20">
        <f t="shared" si="15"/>
        <v>132.46666666666667</v>
      </c>
    </row>
    <row r="197" spans="1:37" ht="15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137.6</v>
      </c>
      <c r="F197" s="2">
        <v>148.1</v>
      </c>
      <c r="G197" s="2">
        <v>136.69999999999999</v>
      </c>
      <c r="H197" s="2">
        <v>143.19999999999999</v>
      </c>
      <c r="I197" s="2">
        <v>124</v>
      </c>
      <c r="J197" s="2">
        <v>154.1</v>
      </c>
      <c r="K197" s="2">
        <v>143.5</v>
      </c>
      <c r="L197" s="2">
        <v>126</v>
      </c>
      <c r="M197" s="2">
        <v>112.4</v>
      </c>
      <c r="N197" s="2">
        <v>137.6</v>
      </c>
      <c r="O197" s="2">
        <v>132.80000000000001</v>
      </c>
      <c r="P197" s="2">
        <v>154.30000000000001</v>
      </c>
      <c r="Q197" s="2">
        <v>140</v>
      </c>
      <c r="R197" s="2">
        <v>157.30000000000001</v>
      </c>
      <c r="S197" s="2">
        <v>151.30000000000001</v>
      </c>
      <c r="T197" s="2">
        <v>144.69999999999999</v>
      </c>
      <c r="U197" s="2">
        <v>150.30000000000001</v>
      </c>
      <c r="V197" s="2">
        <f>VLOOKUP($A197,'Impute housing Missing Value'!$A$1:$C$125,3,0)</f>
        <v>142.5</v>
      </c>
      <c r="W197" s="2">
        <v>145.1</v>
      </c>
      <c r="X197" s="2">
        <v>142.19999999999999</v>
      </c>
      <c r="Y197" s="2">
        <v>138.4</v>
      </c>
      <c r="Z197" s="2">
        <v>127.4</v>
      </c>
      <c r="AA197" s="2">
        <v>137.80000000000001</v>
      </c>
      <c r="AB197" s="2">
        <v>145.1</v>
      </c>
      <c r="AC197" s="2">
        <v>131.4</v>
      </c>
      <c r="AD197" s="2">
        <v>135.6</v>
      </c>
      <c r="AE197" s="2">
        <v>140.5</v>
      </c>
      <c r="AG197" s="20">
        <f t="shared" si="12"/>
        <v>137.71538461538461</v>
      </c>
      <c r="AH197" s="2">
        <v>157.30000000000001</v>
      </c>
      <c r="AI197" s="20">
        <f t="shared" si="13"/>
        <v>143.26666666666668</v>
      </c>
      <c r="AJ197" s="20">
        <f t="shared" si="14"/>
        <v>148.76666666666668</v>
      </c>
      <c r="AK197" s="20">
        <f t="shared" si="15"/>
        <v>135.95000000000002</v>
      </c>
    </row>
    <row r="198" spans="1:37" ht="15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135.30000000000001</v>
      </c>
      <c r="F198" s="2">
        <v>149.69999999999999</v>
      </c>
      <c r="G198" s="2">
        <v>133.9</v>
      </c>
      <c r="H198" s="2">
        <v>140.80000000000001</v>
      </c>
      <c r="I198" s="2">
        <v>116.6</v>
      </c>
      <c r="J198" s="2">
        <v>152.19999999999999</v>
      </c>
      <c r="K198" s="2">
        <v>144</v>
      </c>
      <c r="L198" s="2">
        <v>112.3</v>
      </c>
      <c r="M198" s="2">
        <v>108.4</v>
      </c>
      <c r="N198" s="2">
        <v>140</v>
      </c>
      <c r="O198" s="2">
        <v>126.7</v>
      </c>
      <c r="P198" s="2">
        <v>149</v>
      </c>
      <c r="Q198" s="2">
        <v>138.4</v>
      </c>
      <c r="R198" s="2">
        <v>161</v>
      </c>
      <c r="S198" s="2">
        <v>138.9</v>
      </c>
      <c r="T198" s="2">
        <v>128.69999999999999</v>
      </c>
      <c r="U198" s="2">
        <v>137.4</v>
      </c>
      <c r="V198" s="2">
        <v>148.5</v>
      </c>
      <c r="W198" s="2">
        <v>126.5</v>
      </c>
      <c r="X198" s="2">
        <v>133.1</v>
      </c>
      <c r="Y198" s="2">
        <v>132.6</v>
      </c>
      <c r="Z198" s="2">
        <v>120.4</v>
      </c>
      <c r="AA198" s="2">
        <v>128.5</v>
      </c>
      <c r="AB198" s="2">
        <v>141.19999999999999</v>
      </c>
      <c r="AC198" s="2">
        <v>128.19999999999999</v>
      </c>
      <c r="AD198" s="2">
        <v>129.5</v>
      </c>
      <c r="AE198" s="2">
        <v>136.19999999999999</v>
      </c>
      <c r="AG198" s="20">
        <f t="shared" si="12"/>
        <v>134.40769230769232</v>
      </c>
      <c r="AH198" s="2">
        <v>161</v>
      </c>
      <c r="AI198" s="20">
        <f t="shared" si="13"/>
        <v>136.03333333333333</v>
      </c>
      <c r="AJ198" s="20">
        <f t="shared" si="14"/>
        <v>135</v>
      </c>
      <c r="AK198" s="20">
        <f t="shared" si="15"/>
        <v>130.06666666666669</v>
      </c>
    </row>
    <row r="199" spans="1:37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136.9</v>
      </c>
      <c r="F199" s="2">
        <v>148.69999999999999</v>
      </c>
      <c r="G199" s="2">
        <v>135.6</v>
      </c>
      <c r="H199" s="2">
        <v>142.30000000000001</v>
      </c>
      <c r="I199" s="2">
        <v>121.3</v>
      </c>
      <c r="J199" s="2">
        <v>153.19999999999999</v>
      </c>
      <c r="K199" s="2">
        <v>143.69999999999999</v>
      </c>
      <c r="L199" s="2">
        <v>121.4</v>
      </c>
      <c r="M199" s="2">
        <v>111.1</v>
      </c>
      <c r="N199" s="2">
        <v>138.4</v>
      </c>
      <c r="O199" s="2">
        <v>130.30000000000001</v>
      </c>
      <c r="P199" s="2">
        <v>151.80000000000001</v>
      </c>
      <c r="Q199" s="2">
        <v>139.4</v>
      </c>
      <c r="R199" s="2">
        <v>158.30000000000001</v>
      </c>
      <c r="S199" s="2">
        <v>146.4</v>
      </c>
      <c r="T199" s="2">
        <v>138.1</v>
      </c>
      <c r="U199" s="2">
        <v>145.19999999999999</v>
      </c>
      <c r="V199" s="2">
        <v>149</v>
      </c>
      <c r="W199" s="2">
        <v>138.1</v>
      </c>
      <c r="X199" s="2">
        <v>137.9</v>
      </c>
      <c r="Y199" s="2">
        <v>136.19999999999999</v>
      </c>
      <c r="Z199" s="2">
        <v>123.7</v>
      </c>
      <c r="AA199" s="2">
        <v>132.6</v>
      </c>
      <c r="AB199" s="2">
        <v>142.80000000000001</v>
      </c>
      <c r="AC199" s="2">
        <v>130.1</v>
      </c>
      <c r="AD199" s="2">
        <v>132.6</v>
      </c>
      <c r="AE199" s="2">
        <v>138.5</v>
      </c>
      <c r="AG199" s="20">
        <f t="shared" si="12"/>
        <v>136.46923076923079</v>
      </c>
      <c r="AH199" s="2">
        <v>158.30000000000001</v>
      </c>
      <c r="AI199" s="20">
        <f t="shared" si="13"/>
        <v>141.66666666666666</v>
      </c>
      <c r="AJ199" s="20">
        <f t="shared" si="14"/>
        <v>143.23333333333332</v>
      </c>
      <c r="AK199" s="20">
        <f t="shared" si="15"/>
        <v>133</v>
      </c>
    </row>
    <row r="200" spans="1:37" ht="15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138.4</v>
      </c>
      <c r="F200" s="2">
        <v>149.30000000000001</v>
      </c>
      <c r="G200" s="2">
        <v>139.30000000000001</v>
      </c>
      <c r="H200" s="2">
        <v>143.4</v>
      </c>
      <c r="I200" s="2">
        <v>124.1</v>
      </c>
      <c r="J200" s="2">
        <v>153.30000000000001</v>
      </c>
      <c r="K200" s="2">
        <v>154.19999999999999</v>
      </c>
      <c r="L200" s="2">
        <v>126.4</v>
      </c>
      <c r="M200" s="2">
        <v>114.3</v>
      </c>
      <c r="N200" s="2">
        <v>138.19999999999999</v>
      </c>
      <c r="O200" s="2">
        <v>132.80000000000001</v>
      </c>
      <c r="P200" s="2">
        <v>154.80000000000001</v>
      </c>
      <c r="Q200" s="2">
        <v>142</v>
      </c>
      <c r="R200" s="2">
        <v>156.1</v>
      </c>
      <c r="S200" s="2">
        <v>151.5</v>
      </c>
      <c r="T200" s="2">
        <v>145.1</v>
      </c>
      <c r="U200" s="2">
        <v>150.6</v>
      </c>
      <c r="V200" s="2">
        <f>VLOOKUP($A200,'Impute housing Missing Value'!$A$1:$C$125,3,0)</f>
        <v>143.6</v>
      </c>
      <c r="W200" s="2">
        <v>146.80000000000001</v>
      </c>
      <c r="X200" s="2">
        <v>143.1</v>
      </c>
      <c r="Y200" s="2">
        <v>139</v>
      </c>
      <c r="Z200" s="2">
        <v>127.5</v>
      </c>
      <c r="AA200" s="2">
        <v>138.4</v>
      </c>
      <c r="AB200" s="2">
        <v>145.80000000000001</v>
      </c>
      <c r="AC200" s="2">
        <v>131.4</v>
      </c>
      <c r="AD200" s="2">
        <v>136</v>
      </c>
      <c r="AE200" s="2">
        <v>141.80000000000001</v>
      </c>
      <c r="AG200" s="20">
        <f t="shared" si="12"/>
        <v>139.26923076923077</v>
      </c>
      <c r="AH200" s="2">
        <v>156.1</v>
      </c>
      <c r="AI200" s="20">
        <f t="shared" si="13"/>
        <v>144.5</v>
      </c>
      <c r="AJ200" s="20">
        <f t="shared" si="14"/>
        <v>149.06666666666669</v>
      </c>
      <c r="AK200" s="20">
        <f t="shared" si="15"/>
        <v>136.35</v>
      </c>
    </row>
    <row r="201" spans="1:37" ht="15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135.6</v>
      </c>
      <c r="F201" s="2">
        <v>148.6</v>
      </c>
      <c r="G201" s="2">
        <v>139.1</v>
      </c>
      <c r="H201" s="2">
        <v>141</v>
      </c>
      <c r="I201" s="2">
        <v>116.7</v>
      </c>
      <c r="J201" s="2">
        <v>149.69999999999999</v>
      </c>
      <c r="K201" s="2">
        <v>159.19999999999999</v>
      </c>
      <c r="L201" s="2">
        <v>112.6</v>
      </c>
      <c r="M201" s="2">
        <v>111.8</v>
      </c>
      <c r="N201" s="2">
        <v>140.30000000000001</v>
      </c>
      <c r="O201" s="2">
        <v>126.8</v>
      </c>
      <c r="P201" s="2">
        <v>149.4</v>
      </c>
      <c r="Q201" s="2">
        <v>140.30000000000001</v>
      </c>
      <c r="R201" s="2">
        <v>161.4</v>
      </c>
      <c r="S201" s="2">
        <v>139.6</v>
      </c>
      <c r="T201" s="2">
        <v>128.9</v>
      </c>
      <c r="U201" s="2">
        <v>137.9</v>
      </c>
      <c r="V201" s="2">
        <v>149.4</v>
      </c>
      <c r="W201" s="2">
        <v>128.1</v>
      </c>
      <c r="X201" s="2">
        <v>133.6</v>
      </c>
      <c r="Y201" s="2">
        <v>133.6</v>
      </c>
      <c r="Z201" s="2">
        <v>120.1</v>
      </c>
      <c r="AA201" s="2">
        <v>129</v>
      </c>
      <c r="AB201" s="2">
        <v>144</v>
      </c>
      <c r="AC201" s="2">
        <v>128.19999999999999</v>
      </c>
      <c r="AD201" s="2">
        <v>130.19999999999999</v>
      </c>
      <c r="AE201" s="2">
        <v>137.5</v>
      </c>
      <c r="AG201" s="20">
        <f t="shared" si="12"/>
        <v>136.23846153846154</v>
      </c>
      <c r="AH201" s="2">
        <v>161.4</v>
      </c>
      <c r="AI201" s="20">
        <f t="shared" si="13"/>
        <v>137.03333333333333</v>
      </c>
      <c r="AJ201" s="20">
        <f t="shared" si="14"/>
        <v>135.46666666666667</v>
      </c>
      <c r="AK201" s="20">
        <f t="shared" si="15"/>
        <v>130.85000000000002</v>
      </c>
    </row>
    <row r="202" spans="1:37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137.5</v>
      </c>
      <c r="F202" s="2">
        <v>149.1</v>
      </c>
      <c r="G202" s="2">
        <v>139.19999999999999</v>
      </c>
      <c r="H202" s="2">
        <v>142.5</v>
      </c>
      <c r="I202" s="2">
        <v>121.4</v>
      </c>
      <c r="J202" s="2">
        <v>151.6</v>
      </c>
      <c r="K202" s="2">
        <v>155.9</v>
      </c>
      <c r="L202" s="2">
        <v>121.7</v>
      </c>
      <c r="M202" s="2">
        <v>113.5</v>
      </c>
      <c r="N202" s="2">
        <v>138.9</v>
      </c>
      <c r="O202" s="2">
        <v>130.30000000000001</v>
      </c>
      <c r="P202" s="2">
        <v>152.30000000000001</v>
      </c>
      <c r="Q202" s="2">
        <v>141.4</v>
      </c>
      <c r="R202" s="2">
        <v>157.5</v>
      </c>
      <c r="S202" s="2">
        <v>146.80000000000001</v>
      </c>
      <c r="T202" s="2">
        <v>138.4</v>
      </c>
      <c r="U202" s="2">
        <v>145.6</v>
      </c>
      <c r="V202" s="2">
        <v>150.6</v>
      </c>
      <c r="W202" s="2">
        <v>139.69999999999999</v>
      </c>
      <c r="X202" s="2">
        <v>138.6</v>
      </c>
      <c r="Y202" s="2">
        <v>137</v>
      </c>
      <c r="Z202" s="2">
        <v>123.6</v>
      </c>
      <c r="AA202" s="2">
        <v>133.1</v>
      </c>
      <c r="AB202" s="2">
        <v>144.69999999999999</v>
      </c>
      <c r="AC202" s="2">
        <v>130.1</v>
      </c>
      <c r="AD202" s="2">
        <v>133.19999999999999</v>
      </c>
      <c r="AE202" s="2">
        <v>139.80000000000001</v>
      </c>
      <c r="AG202" s="20">
        <f t="shared" si="12"/>
        <v>138.1</v>
      </c>
      <c r="AH202" s="2">
        <v>157.5</v>
      </c>
      <c r="AI202" s="20">
        <f t="shared" si="13"/>
        <v>142.96666666666667</v>
      </c>
      <c r="AJ202" s="20">
        <f t="shared" si="14"/>
        <v>143.60000000000002</v>
      </c>
      <c r="AK202" s="20">
        <f t="shared" si="15"/>
        <v>133.61666666666667</v>
      </c>
    </row>
    <row r="203" spans="1:37" ht="15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139.19999999999999</v>
      </c>
      <c r="F203" s="2">
        <v>148.80000000000001</v>
      </c>
      <c r="G203" s="2">
        <v>139.1</v>
      </c>
      <c r="H203" s="2">
        <v>143.5</v>
      </c>
      <c r="I203" s="2">
        <v>125</v>
      </c>
      <c r="J203" s="2">
        <v>154.4</v>
      </c>
      <c r="K203" s="2">
        <v>156.30000000000001</v>
      </c>
      <c r="L203" s="2">
        <v>126.8</v>
      </c>
      <c r="M203" s="2">
        <v>115.4</v>
      </c>
      <c r="N203" s="2">
        <v>138.6</v>
      </c>
      <c r="O203" s="2">
        <v>133.80000000000001</v>
      </c>
      <c r="P203" s="2">
        <v>155.19999999999999</v>
      </c>
      <c r="Q203" s="2">
        <v>142.69999999999999</v>
      </c>
      <c r="R203" s="2">
        <v>156.4</v>
      </c>
      <c r="S203" s="2">
        <v>152.1</v>
      </c>
      <c r="T203" s="2">
        <v>145.80000000000001</v>
      </c>
      <c r="U203" s="2">
        <v>151.30000000000001</v>
      </c>
      <c r="V203" s="2">
        <f>VLOOKUP($A203,'Impute housing Missing Value'!$A$1:$C$125,3,0)</f>
        <v>144.6</v>
      </c>
      <c r="W203" s="2">
        <v>147.69999999999999</v>
      </c>
      <c r="X203" s="2">
        <v>143.80000000000001</v>
      </c>
      <c r="Y203" s="2">
        <v>139.4</v>
      </c>
      <c r="Z203" s="2">
        <v>128.30000000000001</v>
      </c>
      <c r="AA203" s="2">
        <v>138.6</v>
      </c>
      <c r="AB203" s="2">
        <v>146.9</v>
      </c>
      <c r="AC203" s="2">
        <v>131.30000000000001</v>
      </c>
      <c r="AD203" s="2">
        <v>136.6</v>
      </c>
      <c r="AE203" s="2">
        <v>142.5</v>
      </c>
      <c r="AG203" s="20">
        <f t="shared" si="12"/>
        <v>139.90769230769232</v>
      </c>
      <c r="AH203" s="2">
        <v>156.4</v>
      </c>
      <c r="AI203" s="20">
        <f t="shared" si="13"/>
        <v>145.36666666666665</v>
      </c>
      <c r="AJ203" s="20">
        <f t="shared" si="14"/>
        <v>149.73333333333332</v>
      </c>
      <c r="AK203" s="20">
        <f t="shared" si="15"/>
        <v>136.85</v>
      </c>
    </row>
    <row r="204" spans="1:37" ht="15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136.5</v>
      </c>
      <c r="F204" s="2">
        <v>146.4</v>
      </c>
      <c r="G204" s="2">
        <v>136.6</v>
      </c>
      <c r="H204" s="2">
        <v>141.19999999999999</v>
      </c>
      <c r="I204" s="2">
        <v>117.4</v>
      </c>
      <c r="J204" s="2">
        <v>146.30000000000001</v>
      </c>
      <c r="K204" s="2">
        <v>157.30000000000001</v>
      </c>
      <c r="L204" s="2">
        <v>113.6</v>
      </c>
      <c r="M204" s="2">
        <v>113.3</v>
      </c>
      <c r="N204" s="2">
        <v>141.1</v>
      </c>
      <c r="O204" s="2">
        <v>127.4</v>
      </c>
      <c r="P204" s="2">
        <v>150.4</v>
      </c>
      <c r="Q204" s="2">
        <v>140.1</v>
      </c>
      <c r="R204" s="2">
        <v>162.1</v>
      </c>
      <c r="S204" s="2">
        <v>140</v>
      </c>
      <c r="T204" s="2">
        <v>129</v>
      </c>
      <c r="U204" s="2">
        <v>138.30000000000001</v>
      </c>
      <c r="V204" s="2">
        <v>152.19999999999999</v>
      </c>
      <c r="W204" s="2">
        <v>129.80000000000001</v>
      </c>
      <c r="X204" s="2">
        <v>134.4</v>
      </c>
      <c r="Y204" s="2">
        <v>134.9</v>
      </c>
      <c r="Z204" s="2">
        <v>120.7</v>
      </c>
      <c r="AA204" s="2">
        <v>129.80000000000001</v>
      </c>
      <c r="AB204" s="2">
        <v>145.30000000000001</v>
      </c>
      <c r="AC204" s="2">
        <v>128.30000000000001</v>
      </c>
      <c r="AD204" s="2">
        <v>131</v>
      </c>
      <c r="AE204" s="2">
        <v>138</v>
      </c>
      <c r="AG204" s="20">
        <f t="shared" si="12"/>
        <v>135.96923076923076</v>
      </c>
      <c r="AH204" s="2">
        <v>162.1</v>
      </c>
      <c r="AI204" s="20">
        <f t="shared" si="13"/>
        <v>138.79999999999998</v>
      </c>
      <c r="AJ204" s="20">
        <f t="shared" si="14"/>
        <v>135.76666666666668</v>
      </c>
      <c r="AK204" s="20">
        <f t="shared" si="15"/>
        <v>131.66666666666666</v>
      </c>
    </row>
    <row r="205" spans="1:37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138.30000000000001</v>
      </c>
      <c r="F205" s="2">
        <v>148</v>
      </c>
      <c r="G205" s="2">
        <v>138.1</v>
      </c>
      <c r="H205" s="2">
        <v>142.6</v>
      </c>
      <c r="I205" s="2">
        <v>122.2</v>
      </c>
      <c r="J205" s="2">
        <v>150.6</v>
      </c>
      <c r="K205" s="2">
        <v>156.6</v>
      </c>
      <c r="L205" s="2">
        <v>122.4</v>
      </c>
      <c r="M205" s="2">
        <v>114.7</v>
      </c>
      <c r="N205" s="2">
        <v>139.4</v>
      </c>
      <c r="O205" s="2">
        <v>131.1</v>
      </c>
      <c r="P205" s="2">
        <v>153</v>
      </c>
      <c r="Q205" s="2">
        <v>141.69999999999999</v>
      </c>
      <c r="R205" s="2">
        <v>157.9</v>
      </c>
      <c r="S205" s="2">
        <v>147.30000000000001</v>
      </c>
      <c r="T205" s="2">
        <v>138.80000000000001</v>
      </c>
      <c r="U205" s="2">
        <v>146.1</v>
      </c>
      <c r="V205" s="2">
        <v>153</v>
      </c>
      <c r="W205" s="2">
        <v>140.9</v>
      </c>
      <c r="X205" s="2">
        <v>139.4</v>
      </c>
      <c r="Y205" s="2">
        <v>137.69999999999999</v>
      </c>
      <c r="Z205" s="2">
        <v>124.3</v>
      </c>
      <c r="AA205" s="2">
        <v>133.6</v>
      </c>
      <c r="AB205" s="2">
        <v>146</v>
      </c>
      <c r="AC205" s="2">
        <v>130.1</v>
      </c>
      <c r="AD205" s="2">
        <v>133.9</v>
      </c>
      <c r="AE205" s="2">
        <v>140.4</v>
      </c>
      <c r="AG205" s="20">
        <f t="shared" si="12"/>
        <v>138.36153846153849</v>
      </c>
      <c r="AH205" s="2">
        <v>157.9</v>
      </c>
      <c r="AI205" s="20">
        <f t="shared" si="13"/>
        <v>144.43333333333331</v>
      </c>
      <c r="AJ205" s="20">
        <f t="shared" si="14"/>
        <v>144.06666666666669</v>
      </c>
      <c r="AK205" s="20">
        <f t="shared" si="15"/>
        <v>134.26666666666668</v>
      </c>
    </row>
    <row r="206" spans="1:37" ht="26.5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139.4</v>
      </c>
      <c r="F206" s="2">
        <v>147.19999999999999</v>
      </c>
      <c r="G206" s="2">
        <v>136.6</v>
      </c>
      <c r="H206" s="2">
        <v>143.69999999999999</v>
      </c>
      <c r="I206" s="2">
        <v>124.6</v>
      </c>
      <c r="J206" s="2">
        <v>150.1</v>
      </c>
      <c r="K206" s="2">
        <v>149.4</v>
      </c>
      <c r="L206" s="2">
        <v>125.4</v>
      </c>
      <c r="M206" s="2">
        <v>114.4</v>
      </c>
      <c r="N206" s="2">
        <v>138.69999999999999</v>
      </c>
      <c r="O206" s="2">
        <v>133.1</v>
      </c>
      <c r="P206" s="2">
        <v>155.9</v>
      </c>
      <c r="Q206" s="2">
        <v>141.30000000000001</v>
      </c>
      <c r="R206" s="2">
        <v>157.69999999999999</v>
      </c>
      <c r="S206" s="2">
        <v>152.1</v>
      </c>
      <c r="T206" s="2">
        <v>146.1</v>
      </c>
      <c r="U206" s="2">
        <v>151.30000000000001</v>
      </c>
      <c r="V206" s="2">
        <f>VLOOKUP($A206,'Impute housing Missing Value'!$A$1:$C$125,3,0)</f>
        <v>145.30000000000001</v>
      </c>
      <c r="W206" s="2">
        <v>149</v>
      </c>
      <c r="X206" s="2">
        <v>144</v>
      </c>
      <c r="Y206" s="2">
        <v>140</v>
      </c>
      <c r="Z206" s="2">
        <v>129.9</v>
      </c>
      <c r="AA206" s="2">
        <v>140</v>
      </c>
      <c r="AB206" s="2">
        <v>147.6</v>
      </c>
      <c r="AC206" s="2">
        <v>132</v>
      </c>
      <c r="AD206" s="2">
        <v>137.4</v>
      </c>
      <c r="AE206" s="2">
        <v>142.1</v>
      </c>
      <c r="AG206" s="20">
        <f t="shared" si="12"/>
        <v>138.44615384615386</v>
      </c>
      <c r="AH206" s="2">
        <v>157.69999999999999</v>
      </c>
      <c r="AI206" s="20">
        <f t="shared" si="13"/>
        <v>146.1</v>
      </c>
      <c r="AJ206" s="20">
        <f t="shared" si="14"/>
        <v>149.83333333333334</v>
      </c>
      <c r="AK206" s="20">
        <f t="shared" si="15"/>
        <v>137.81666666666666</v>
      </c>
    </row>
    <row r="207" spans="1:37" ht="26.5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137</v>
      </c>
      <c r="F207" s="2">
        <v>143.1</v>
      </c>
      <c r="G207" s="2">
        <v>132.80000000000001</v>
      </c>
      <c r="H207" s="2">
        <v>141.5</v>
      </c>
      <c r="I207" s="2">
        <v>117.8</v>
      </c>
      <c r="J207" s="2">
        <v>140</v>
      </c>
      <c r="K207" s="2">
        <v>151.30000000000001</v>
      </c>
      <c r="L207" s="2">
        <v>113.5</v>
      </c>
      <c r="M207" s="2">
        <v>112.3</v>
      </c>
      <c r="N207" s="2">
        <v>141.19999999999999</v>
      </c>
      <c r="O207" s="2">
        <v>127.7</v>
      </c>
      <c r="P207" s="2">
        <v>151.30000000000001</v>
      </c>
      <c r="Q207" s="2">
        <v>138.9</v>
      </c>
      <c r="R207" s="2">
        <v>163.30000000000001</v>
      </c>
      <c r="S207" s="2">
        <v>140.80000000000001</v>
      </c>
      <c r="T207" s="2">
        <v>129.30000000000001</v>
      </c>
      <c r="U207" s="2">
        <v>139.1</v>
      </c>
      <c r="V207" s="2">
        <v>152.80000000000001</v>
      </c>
      <c r="W207" s="2">
        <v>131.19999999999999</v>
      </c>
      <c r="X207" s="2">
        <v>134.9</v>
      </c>
      <c r="Y207" s="2">
        <v>135.69999999999999</v>
      </c>
      <c r="Z207" s="2">
        <v>122.5</v>
      </c>
      <c r="AA207" s="2">
        <v>130.19999999999999</v>
      </c>
      <c r="AB207" s="2">
        <v>145.19999999999999</v>
      </c>
      <c r="AC207" s="2">
        <v>129.30000000000001</v>
      </c>
      <c r="AD207" s="2">
        <v>131.9</v>
      </c>
      <c r="AE207" s="2">
        <v>138.1</v>
      </c>
      <c r="AG207" s="20">
        <f t="shared" si="12"/>
        <v>134.49230769230769</v>
      </c>
      <c r="AH207" s="2">
        <v>163.30000000000001</v>
      </c>
      <c r="AI207" s="20">
        <f t="shared" si="13"/>
        <v>139.63333333333333</v>
      </c>
      <c r="AJ207" s="20">
        <f t="shared" si="14"/>
        <v>136.4</v>
      </c>
      <c r="AK207" s="20">
        <f t="shared" si="15"/>
        <v>132.46666666666664</v>
      </c>
    </row>
    <row r="208" spans="1:37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138.6</v>
      </c>
      <c r="F208" s="2">
        <v>145.80000000000001</v>
      </c>
      <c r="G208" s="2">
        <v>135.1</v>
      </c>
      <c r="H208" s="2">
        <v>142.9</v>
      </c>
      <c r="I208" s="2">
        <v>122.1</v>
      </c>
      <c r="J208" s="2">
        <v>145.4</v>
      </c>
      <c r="K208" s="2">
        <v>150</v>
      </c>
      <c r="L208" s="2">
        <v>121.4</v>
      </c>
      <c r="M208" s="2">
        <v>113.7</v>
      </c>
      <c r="N208" s="2">
        <v>139.5</v>
      </c>
      <c r="O208" s="2">
        <v>130.80000000000001</v>
      </c>
      <c r="P208" s="2">
        <v>153.80000000000001</v>
      </c>
      <c r="Q208" s="2">
        <v>140.4</v>
      </c>
      <c r="R208" s="2">
        <v>159.19999999999999</v>
      </c>
      <c r="S208" s="2">
        <v>147.69999999999999</v>
      </c>
      <c r="T208" s="2">
        <v>139.1</v>
      </c>
      <c r="U208" s="2">
        <v>146.5</v>
      </c>
      <c r="V208" s="2">
        <v>153.9</v>
      </c>
      <c r="W208" s="2">
        <v>142.30000000000001</v>
      </c>
      <c r="X208" s="2">
        <v>139.69999999999999</v>
      </c>
      <c r="Y208" s="2">
        <v>138.4</v>
      </c>
      <c r="Z208" s="2">
        <v>126</v>
      </c>
      <c r="AA208" s="2">
        <v>134.5</v>
      </c>
      <c r="AB208" s="2">
        <v>146.19999999999999</v>
      </c>
      <c r="AC208" s="2">
        <v>130.9</v>
      </c>
      <c r="AD208" s="2">
        <v>134.69999999999999</v>
      </c>
      <c r="AE208" s="2">
        <v>140.19999999999999</v>
      </c>
      <c r="AG208" s="20">
        <f t="shared" si="12"/>
        <v>136.88461538461539</v>
      </c>
      <c r="AH208" s="2">
        <v>159.19999999999999</v>
      </c>
      <c r="AI208" s="20">
        <f t="shared" si="13"/>
        <v>145.30000000000001</v>
      </c>
      <c r="AJ208" s="20">
        <f t="shared" si="14"/>
        <v>144.43333333333331</v>
      </c>
      <c r="AK208" s="20">
        <f t="shared" si="15"/>
        <v>135.11666666666665</v>
      </c>
    </row>
    <row r="209" spans="1:37" ht="15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139.30000000000001</v>
      </c>
      <c r="F209" s="2">
        <v>147.6</v>
      </c>
      <c r="G209" s="2">
        <v>134.6</v>
      </c>
      <c r="H209" s="2">
        <v>141.9</v>
      </c>
      <c r="I209" s="2">
        <v>123.5</v>
      </c>
      <c r="J209" s="2">
        <v>144.5</v>
      </c>
      <c r="K209" s="2">
        <v>147.6</v>
      </c>
      <c r="L209" s="2">
        <v>121.4</v>
      </c>
      <c r="M209" s="2">
        <v>112.3</v>
      </c>
      <c r="N209" s="2">
        <v>139.5</v>
      </c>
      <c r="O209" s="2">
        <v>134.6</v>
      </c>
      <c r="P209" s="2">
        <v>155.19999999999999</v>
      </c>
      <c r="Q209" s="2">
        <v>140.19999999999999</v>
      </c>
      <c r="R209" s="2">
        <v>159.6</v>
      </c>
      <c r="S209" s="2">
        <v>150.69999999999999</v>
      </c>
      <c r="T209" s="2">
        <v>144.5</v>
      </c>
      <c r="U209" s="2">
        <v>149.80000000000001</v>
      </c>
      <c r="V209" s="2">
        <f>VLOOKUP($A209,'Impute housing Missing Value'!$A$1:$C$125,3,0)</f>
        <v>146.30000000000001</v>
      </c>
      <c r="W209" s="2">
        <v>149.69999999999999</v>
      </c>
      <c r="X209" s="2">
        <v>147.5</v>
      </c>
      <c r="Y209" s="2">
        <v>144.80000000000001</v>
      </c>
      <c r="Z209" s="2">
        <v>130.80000000000001</v>
      </c>
      <c r="AA209" s="2">
        <v>140.1</v>
      </c>
      <c r="AB209" s="2">
        <v>148</v>
      </c>
      <c r="AC209" s="2">
        <v>134.4</v>
      </c>
      <c r="AD209" s="2">
        <v>139.80000000000001</v>
      </c>
      <c r="AE209" s="2">
        <v>142.19999999999999</v>
      </c>
      <c r="AG209" s="20">
        <f t="shared" si="12"/>
        <v>137.09230769230768</v>
      </c>
      <c r="AH209" s="2">
        <v>159.6</v>
      </c>
      <c r="AI209" s="20">
        <f t="shared" si="13"/>
        <v>147.83333333333334</v>
      </c>
      <c r="AJ209" s="20">
        <f t="shared" si="14"/>
        <v>148.33333333333334</v>
      </c>
      <c r="AK209" s="20">
        <f t="shared" si="15"/>
        <v>139.65</v>
      </c>
    </row>
    <row r="210" spans="1:37" ht="15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137.6</v>
      </c>
      <c r="F210" s="2">
        <v>144.9</v>
      </c>
      <c r="G210" s="2">
        <v>133.5</v>
      </c>
      <c r="H210" s="2">
        <v>141.5</v>
      </c>
      <c r="I210" s="2">
        <v>118</v>
      </c>
      <c r="J210" s="2">
        <v>139.5</v>
      </c>
      <c r="K210" s="2">
        <v>153</v>
      </c>
      <c r="L210" s="2">
        <v>113.2</v>
      </c>
      <c r="M210" s="2">
        <v>112.8</v>
      </c>
      <c r="N210" s="2">
        <v>141.1</v>
      </c>
      <c r="O210" s="2">
        <v>127.6</v>
      </c>
      <c r="P210" s="2">
        <v>152</v>
      </c>
      <c r="Q210" s="2">
        <v>139.4</v>
      </c>
      <c r="R210" s="2">
        <v>164</v>
      </c>
      <c r="S210" s="2">
        <v>141.5</v>
      </c>
      <c r="T210" s="2">
        <v>129.80000000000001</v>
      </c>
      <c r="U210" s="2">
        <v>139.69999999999999</v>
      </c>
      <c r="V210" s="2">
        <v>154.5</v>
      </c>
      <c r="W210" s="2">
        <v>133.4</v>
      </c>
      <c r="X210" s="2">
        <v>135.1</v>
      </c>
      <c r="Y210" s="2">
        <v>136.19999999999999</v>
      </c>
      <c r="Z210" s="2">
        <v>123.3</v>
      </c>
      <c r="AA210" s="2">
        <v>130.69999999999999</v>
      </c>
      <c r="AB210" s="2">
        <v>145.5</v>
      </c>
      <c r="AC210" s="2">
        <v>130.4</v>
      </c>
      <c r="AD210" s="2">
        <v>132.5</v>
      </c>
      <c r="AE210" s="2">
        <v>138.9</v>
      </c>
      <c r="AG210" s="20">
        <f t="shared" si="12"/>
        <v>134.93076923076922</v>
      </c>
      <c r="AH210" s="2">
        <v>164</v>
      </c>
      <c r="AI210" s="20">
        <f t="shared" si="13"/>
        <v>141</v>
      </c>
      <c r="AJ210" s="20">
        <f t="shared" si="14"/>
        <v>137</v>
      </c>
      <c r="AK210" s="20">
        <f t="shared" si="15"/>
        <v>133.1</v>
      </c>
    </row>
    <row r="211" spans="1:37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137.4</v>
      </c>
      <c r="F211" s="2">
        <v>149.5</v>
      </c>
      <c r="G211" s="2">
        <v>137.30000000000001</v>
      </c>
      <c r="H211" s="2">
        <v>141.9</v>
      </c>
      <c r="I211" s="2">
        <v>121.1</v>
      </c>
      <c r="J211" s="2">
        <v>142.5</v>
      </c>
      <c r="K211" s="2">
        <v>146.69999999999999</v>
      </c>
      <c r="L211" s="2">
        <v>119.1</v>
      </c>
      <c r="M211" s="2">
        <v>111.9</v>
      </c>
      <c r="N211" s="2">
        <v>141</v>
      </c>
      <c r="O211" s="2">
        <v>133.6</v>
      </c>
      <c r="P211" s="2">
        <v>154.5</v>
      </c>
      <c r="Q211" s="2">
        <v>139.69999999999999</v>
      </c>
      <c r="R211" s="2">
        <v>162.6</v>
      </c>
      <c r="S211" s="2">
        <v>148</v>
      </c>
      <c r="T211" s="2">
        <v>139.19999999999999</v>
      </c>
      <c r="U211" s="2">
        <v>146.80000000000001</v>
      </c>
      <c r="V211" s="2">
        <v>155.6</v>
      </c>
      <c r="W211" s="2">
        <v>145.30000000000001</v>
      </c>
      <c r="X211" s="2">
        <v>142.19999999999999</v>
      </c>
      <c r="Y211" s="2">
        <v>142.1</v>
      </c>
      <c r="Z211" s="2">
        <v>125.5</v>
      </c>
      <c r="AA211" s="2">
        <v>136.5</v>
      </c>
      <c r="AB211" s="2">
        <v>147.80000000000001</v>
      </c>
      <c r="AC211" s="2">
        <v>132</v>
      </c>
      <c r="AD211" s="2">
        <v>136.30000000000001</v>
      </c>
      <c r="AE211" s="2">
        <v>140.80000000000001</v>
      </c>
      <c r="AG211" s="20">
        <f t="shared" si="12"/>
        <v>136.63076923076923</v>
      </c>
      <c r="AH211" s="2">
        <v>162.6</v>
      </c>
      <c r="AI211" s="20">
        <f t="shared" si="13"/>
        <v>147.69999999999999</v>
      </c>
      <c r="AJ211" s="20">
        <f t="shared" si="14"/>
        <v>144.66666666666666</v>
      </c>
      <c r="AK211" s="20">
        <f t="shared" si="15"/>
        <v>136.70000000000002</v>
      </c>
    </row>
    <row r="212" spans="1:37" ht="26.5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137.1</v>
      </c>
      <c r="F212" s="2">
        <v>150.80000000000001</v>
      </c>
      <c r="G212" s="2">
        <v>136.69999999999999</v>
      </c>
      <c r="H212" s="2">
        <v>141.9</v>
      </c>
      <c r="I212" s="2">
        <v>122.8</v>
      </c>
      <c r="J212" s="2">
        <v>143.9</v>
      </c>
      <c r="K212" s="2">
        <v>147.5</v>
      </c>
      <c r="L212" s="2">
        <v>121</v>
      </c>
      <c r="M212" s="2">
        <v>111.6</v>
      </c>
      <c r="N212" s="2">
        <v>140.6</v>
      </c>
      <c r="O212" s="2">
        <v>137.5</v>
      </c>
      <c r="P212" s="2">
        <v>156.1</v>
      </c>
      <c r="Q212" s="2">
        <v>140</v>
      </c>
      <c r="R212" s="2">
        <v>161.9</v>
      </c>
      <c r="S212" s="2">
        <v>151.69999999999999</v>
      </c>
      <c r="T212" s="2">
        <v>145.5</v>
      </c>
      <c r="U212" s="2">
        <v>150.80000000000001</v>
      </c>
      <c r="V212" s="2">
        <f>VLOOKUP($A212,'Impute housing Missing Value'!$A$1:$C$125,3,0)</f>
        <v>146.9</v>
      </c>
      <c r="W212" s="2">
        <v>150.30000000000001</v>
      </c>
      <c r="X212" s="2">
        <v>148</v>
      </c>
      <c r="Y212" s="2">
        <v>145.4</v>
      </c>
      <c r="Z212" s="2">
        <v>130.30000000000001</v>
      </c>
      <c r="AA212" s="2">
        <v>143.1</v>
      </c>
      <c r="AB212" s="2">
        <v>150.19999999999999</v>
      </c>
      <c r="AC212" s="2">
        <v>133.1</v>
      </c>
      <c r="AD212" s="2">
        <v>140.1</v>
      </c>
      <c r="AE212" s="2">
        <v>142.4</v>
      </c>
      <c r="AG212" s="20">
        <f t="shared" si="12"/>
        <v>137.49999999999997</v>
      </c>
      <c r="AH212" s="2">
        <v>161.9</v>
      </c>
      <c r="AI212" s="20">
        <f t="shared" si="13"/>
        <v>148.4</v>
      </c>
      <c r="AJ212" s="20">
        <f t="shared" si="14"/>
        <v>149.33333333333334</v>
      </c>
      <c r="AK212" s="20">
        <f t="shared" si="15"/>
        <v>140.36666666666667</v>
      </c>
    </row>
    <row r="213" spans="1:37" ht="26.5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138.1</v>
      </c>
      <c r="F213" s="2">
        <v>146.30000000000001</v>
      </c>
      <c r="G213" s="2">
        <v>137.80000000000001</v>
      </c>
      <c r="H213" s="2">
        <v>141.6</v>
      </c>
      <c r="I213" s="2">
        <v>118.1</v>
      </c>
      <c r="J213" s="2">
        <v>141.5</v>
      </c>
      <c r="K213" s="2">
        <v>145.19999999999999</v>
      </c>
      <c r="L213" s="2">
        <v>115.3</v>
      </c>
      <c r="M213" s="2">
        <v>112.5</v>
      </c>
      <c r="N213" s="2">
        <v>141.4</v>
      </c>
      <c r="O213" s="2">
        <v>128</v>
      </c>
      <c r="P213" s="2">
        <v>152.6</v>
      </c>
      <c r="Q213" s="2">
        <v>139.1</v>
      </c>
      <c r="R213" s="2">
        <v>164.4</v>
      </c>
      <c r="S213" s="2">
        <v>142.4</v>
      </c>
      <c r="T213" s="2">
        <v>130.19999999999999</v>
      </c>
      <c r="U213" s="2">
        <v>140.5</v>
      </c>
      <c r="V213" s="2">
        <v>154.69999999999999</v>
      </c>
      <c r="W213" s="2">
        <v>136.69999999999999</v>
      </c>
      <c r="X213" s="2">
        <v>135.80000000000001</v>
      </c>
      <c r="Y213" s="2">
        <v>136.80000000000001</v>
      </c>
      <c r="Z213" s="2">
        <v>121.2</v>
      </c>
      <c r="AA213" s="2">
        <v>131.30000000000001</v>
      </c>
      <c r="AB213" s="2">
        <v>146.1</v>
      </c>
      <c r="AC213" s="2">
        <v>130.5</v>
      </c>
      <c r="AD213" s="2">
        <v>132.19999999999999</v>
      </c>
      <c r="AE213" s="2">
        <v>139</v>
      </c>
      <c r="AG213" s="20">
        <f t="shared" si="12"/>
        <v>135.19230769230768</v>
      </c>
      <c r="AH213" s="2">
        <v>164.4</v>
      </c>
      <c r="AI213" s="20">
        <f t="shared" si="13"/>
        <v>142.4</v>
      </c>
      <c r="AJ213" s="20">
        <f t="shared" si="14"/>
        <v>137.70000000000002</v>
      </c>
      <c r="AK213" s="20">
        <f t="shared" si="15"/>
        <v>133.01666666666665</v>
      </c>
    </row>
    <row r="214" spans="1:37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137.4</v>
      </c>
      <c r="F214" s="2">
        <v>149.19999999999999</v>
      </c>
      <c r="G214" s="2">
        <v>137.1</v>
      </c>
      <c r="H214" s="2">
        <v>141.80000000000001</v>
      </c>
      <c r="I214" s="2">
        <v>121.1</v>
      </c>
      <c r="J214" s="2">
        <v>142.80000000000001</v>
      </c>
      <c r="K214" s="2">
        <v>146.69999999999999</v>
      </c>
      <c r="L214" s="2">
        <v>119.1</v>
      </c>
      <c r="M214" s="2">
        <v>111.9</v>
      </c>
      <c r="N214" s="2">
        <v>140.9</v>
      </c>
      <c r="O214" s="2">
        <v>133.5</v>
      </c>
      <c r="P214" s="2">
        <v>154.5</v>
      </c>
      <c r="Q214" s="2">
        <v>139.69999999999999</v>
      </c>
      <c r="R214" s="2">
        <v>162.6</v>
      </c>
      <c r="S214" s="2">
        <v>148</v>
      </c>
      <c r="T214" s="2">
        <v>139.1</v>
      </c>
      <c r="U214" s="2">
        <v>146.69999999999999</v>
      </c>
      <c r="V214" s="2">
        <v>154.69999999999999</v>
      </c>
      <c r="W214" s="2">
        <v>145.1</v>
      </c>
      <c r="X214" s="2">
        <v>142.19999999999999</v>
      </c>
      <c r="Y214" s="2">
        <v>142.1</v>
      </c>
      <c r="Z214" s="2">
        <v>125.5</v>
      </c>
      <c r="AA214" s="2">
        <v>136.5</v>
      </c>
      <c r="AB214" s="2">
        <v>147.80000000000001</v>
      </c>
      <c r="AC214" s="2">
        <v>132</v>
      </c>
      <c r="AD214" s="2">
        <v>136.30000000000001</v>
      </c>
      <c r="AE214" s="2">
        <v>140.80000000000001</v>
      </c>
      <c r="AG214" s="20">
        <f t="shared" si="12"/>
        <v>136.59230769230771</v>
      </c>
      <c r="AH214" s="2">
        <v>162.6</v>
      </c>
      <c r="AI214" s="20">
        <f t="shared" si="13"/>
        <v>147.33333333333331</v>
      </c>
      <c r="AJ214" s="20">
        <f t="shared" si="14"/>
        <v>144.6</v>
      </c>
      <c r="AK214" s="20">
        <f t="shared" si="15"/>
        <v>136.70000000000002</v>
      </c>
    </row>
    <row r="215" spans="1:37" ht="26.5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137.1</v>
      </c>
      <c r="F215" s="2">
        <v>151.9</v>
      </c>
      <c r="G215" s="2">
        <v>137.4</v>
      </c>
      <c r="H215" s="2">
        <v>142.4</v>
      </c>
      <c r="I215" s="2">
        <v>124.2</v>
      </c>
      <c r="J215" s="2">
        <v>140.19999999999999</v>
      </c>
      <c r="K215" s="2">
        <v>136.6</v>
      </c>
      <c r="L215" s="2">
        <v>120.9</v>
      </c>
      <c r="M215" s="2">
        <v>109.9</v>
      </c>
      <c r="N215" s="2">
        <v>140.19999999999999</v>
      </c>
      <c r="O215" s="2">
        <v>137.80000000000001</v>
      </c>
      <c r="P215" s="2">
        <v>156</v>
      </c>
      <c r="Q215" s="2">
        <v>138.5</v>
      </c>
      <c r="R215" s="2">
        <v>162.4</v>
      </c>
      <c r="S215" s="2">
        <v>151.6</v>
      </c>
      <c r="T215" s="2">
        <v>145.9</v>
      </c>
      <c r="U215" s="2">
        <v>150.80000000000001</v>
      </c>
      <c r="V215" s="2">
        <f>VLOOKUP($A215,'Impute housing Missing Value'!$A$1:$C$125,3,0)</f>
        <v>146.5</v>
      </c>
      <c r="W215" s="2">
        <v>149</v>
      </c>
      <c r="X215" s="2">
        <v>149.5</v>
      </c>
      <c r="Y215" s="2">
        <v>149.6</v>
      </c>
      <c r="Z215" s="2">
        <v>128.9</v>
      </c>
      <c r="AA215" s="2">
        <v>143.30000000000001</v>
      </c>
      <c r="AB215" s="2">
        <v>155.1</v>
      </c>
      <c r="AC215" s="2">
        <v>133.19999999999999</v>
      </c>
      <c r="AD215" s="2">
        <v>141.6</v>
      </c>
      <c r="AE215" s="2">
        <v>141.9</v>
      </c>
      <c r="AG215" s="20">
        <f t="shared" si="12"/>
        <v>136.3923076923077</v>
      </c>
      <c r="AH215" s="2">
        <v>162.4</v>
      </c>
      <c r="AI215" s="20">
        <f t="shared" si="13"/>
        <v>148.33333333333334</v>
      </c>
      <c r="AJ215" s="20">
        <f t="shared" si="14"/>
        <v>149.43333333333334</v>
      </c>
      <c r="AK215" s="20">
        <f t="shared" si="15"/>
        <v>141.94999999999999</v>
      </c>
    </row>
    <row r="216" spans="1:37" ht="26.5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138.5</v>
      </c>
      <c r="F216" s="2">
        <v>147.80000000000001</v>
      </c>
      <c r="G216" s="2">
        <v>141.1</v>
      </c>
      <c r="H216" s="2">
        <v>141.6</v>
      </c>
      <c r="I216" s="2">
        <v>118.1</v>
      </c>
      <c r="J216" s="2">
        <v>138.5</v>
      </c>
      <c r="K216" s="2">
        <v>132.4</v>
      </c>
      <c r="L216" s="2">
        <v>117.5</v>
      </c>
      <c r="M216" s="2">
        <v>111</v>
      </c>
      <c r="N216" s="2">
        <v>141.5</v>
      </c>
      <c r="O216" s="2">
        <v>128.1</v>
      </c>
      <c r="P216" s="2">
        <v>152.9</v>
      </c>
      <c r="Q216" s="2">
        <v>137.6</v>
      </c>
      <c r="R216" s="2">
        <v>164.6</v>
      </c>
      <c r="S216" s="2">
        <v>142.69999999999999</v>
      </c>
      <c r="T216" s="2">
        <v>130.30000000000001</v>
      </c>
      <c r="U216" s="2">
        <v>140.80000000000001</v>
      </c>
      <c r="V216" s="2">
        <v>156.30000000000001</v>
      </c>
      <c r="W216" s="2">
        <v>132.4</v>
      </c>
      <c r="X216" s="2">
        <v>136.19999999999999</v>
      </c>
      <c r="Y216" s="2">
        <v>137.30000000000001</v>
      </c>
      <c r="Z216" s="2">
        <v>118.8</v>
      </c>
      <c r="AA216" s="2">
        <v>131.69999999999999</v>
      </c>
      <c r="AB216" s="2">
        <v>146.5</v>
      </c>
      <c r="AC216" s="2">
        <v>130.80000000000001</v>
      </c>
      <c r="AD216" s="2">
        <v>131.69999999999999</v>
      </c>
      <c r="AE216" s="2">
        <v>138</v>
      </c>
      <c r="AG216" s="20">
        <f t="shared" si="12"/>
        <v>134.35384615384615</v>
      </c>
      <c r="AH216" s="2">
        <v>164.6</v>
      </c>
      <c r="AI216" s="20">
        <f t="shared" si="13"/>
        <v>141.63333333333335</v>
      </c>
      <c r="AJ216" s="20">
        <f t="shared" si="14"/>
        <v>137.93333333333334</v>
      </c>
      <c r="AK216" s="20">
        <f t="shared" si="15"/>
        <v>132.79999999999998</v>
      </c>
    </row>
    <row r="217" spans="1:37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137.5</v>
      </c>
      <c r="F217" s="2">
        <v>150.5</v>
      </c>
      <c r="G217" s="2">
        <v>138.80000000000001</v>
      </c>
      <c r="H217" s="2">
        <v>142.1</v>
      </c>
      <c r="I217" s="2">
        <v>122</v>
      </c>
      <c r="J217" s="2">
        <v>139.4</v>
      </c>
      <c r="K217" s="2">
        <v>135.19999999999999</v>
      </c>
      <c r="L217" s="2">
        <v>119.8</v>
      </c>
      <c r="M217" s="2">
        <v>110.3</v>
      </c>
      <c r="N217" s="2">
        <v>140.6</v>
      </c>
      <c r="O217" s="2">
        <v>133.80000000000001</v>
      </c>
      <c r="P217" s="2">
        <v>154.6</v>
      </c>
      <c r="Q217" s="2">
        <v>138.19999999999999</v>
      </c>
      <c r="R217" s="2">
        <v>163</v>
      </c>
      <c r="S217" s="2">
        <v>148.1</v>
      </c>
      <c r="T217" s="2">
        <v>139.4</v>
      </c>
      <c r="U217" s="2">
        <v>146.80000000000001</v>
      </c>
      <c r="V217" s="2">
        <v>156.5</v>
      </c>
      <c r="W217" s="2">
        <v>142.69999999999999</v>
      </c>
      <c r="X217" s="2">
        <v>143.19999999999999</v>
      </c>
      <c r="Y217" s="2">
        <v>144.9</v>
      </c>
      <c r="Z217" s="2">
        <v>123.6</v>
      </c>
      <c r="AA217" s="2">
        <v>136.80000000000001</v>
      </c>
      <c r="AB217" s="2">
        <v>150.1</v>
      </c>
      <c r="AC217" s="2">
        <v>132.19999999999999</v>
      </c>
      <c r="AD217" s="2">
        <v>136.80000000000001</v>
      </c>
      <c r="AE217" s="2">
        <v>140.1</v>
      </c>
      <c r="AG217" s="20">
        <f t="shared" si="12"/>
        <v>135.59999999999997</v>
      </c>
      <c r="AH217" s="2">
        <v>163</v>
      </c>
      <c r="AI217" s="20">
        <f t="shared" si="13"/>
        <v>147.46666666666667</v>
      </c>
      <c r="AJ217" s="20">
        <f t="shared" si="14"/>
        <v>144.76666666666668</v>
      </c>
      <c r="AK217" s="20">
        <f t="shared" si="15"/>
        <v>137.39999999999998</v>
      </c>
    </row>
    <row r="218" spans="1:37" ht="15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136.6</v>
      </c>
      <c r="F218" s="2">
        <v>152.5</v>
      </c>
      <c r="G218" s="2">
        <v>138.19999999999999</v>
      </c>
      <c r="H218" s="2">
        <v>142.4</v>
      </c>
      <c r="I218" s="2">
        <v>123.9</v>
      </c>
      <c r="J218" s="2">
        <v>135.5</v>
      </c>
      <c r="K218" s="2">
        <v>131.69999999999999</v>
      </c>
      <c r="L218" s="2">
        <v>121.3</v>
      </c>
      <c r="M218" s="2">
        <v>108.4</v>
      </c>
      <c r="N218" s="2">
        <v>138.9</v>
      </c>
      <c r="O218" s="2">
        <v>137</v>
      </c>
      <c r="P218" s="2">
        <v>155.80000000000001</v>
      </c>
      <c r="Q218" s="2">
        <v>137.4</v>
      </c>
      <c r="R218" s="2">
        <v>162.69999999999999</v>
      </c>
      <c r="S218" s="2">
        <v>150.6</v>
      </c>
      <c r="T218" s="2">
        <v>145.1</v>
      </c>
      <c r="U218" s="2">
        <v>149.9</v>
      </c>
      <c r="V218" s="2">
        <f>VLOOKUP($A218,'Impute housing Missing Value'!$A$1:$C$125,3,0)</f>
        <v>147.69999999999999</v>
      </c>
      <c r="W218" s="2">
        <v>146.19999999999999</v>
      </c>
      <c r="X218" s="2">
        <v>150.1</v>
      </c>
      <c r="Y218" s="2">
        <v>149.6</v>
      </c>
      <c r="Z218" s="2">
        <v>128.6</v>
      </c>
      <c r="AA218" s="2">
        <v>142.9</v>
      </c>
      <c r="AB218" s="2">
        <v>155.19999999999999</v>
      </c>
      <c r="AC218" s="2">
        <v>133.5</v>
      </c>
      <c r="AD218" s="2">
        <v>141.69999999999999</v>
      </c>
      <c r="AE218" s="2">
        <v>141</v>
      </c>
      <c r="AG218" s="20">
        <f t="shared" si="12"/>
        <v>135.35384615384618</v>
      </c>
      <c r="AH218" s="2">
        <v>162.69999999999999</v>
      </c>
      <c r="AI218" s="20">
        <f t="shared" si="13"/>
        <v>148</v>
      </c>
      <c r="AJ218" s="20">
        <f t="shared" si="14"/>
        <v>148.53333333333333</v>
      </c>
      <c r="AK218" s="20">
        <f t="shared" si="15"/>
        <v>141.91666666666666</v>
      </c>
    </row>
    <row r="219" spans="1:37" ht="15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138.30000000000001</v>
      </c>
      <c r="F219" s="2">
        <v>149.4</v>
      </c>
      <c r="G219" s="2">
        <v>143.5</v>
      </c>
      <c r="H219" s="2">
        <v>141.69999999999999</v>
      </c>
      <c r="I219" s="2">
        <v>118.1</v>
      </c>
      <c r="J219" s="2">
        <v>135.19999999999999</v>
      </c>
      <c r="K219" s="2">
        <v>130.5</v>
      </c>
      <c r="L219" s="2">
        <v>118.2</v>
      </c>
      <c r="M219" s="2">
        <v>110.4</v>
      </c>
      <c r="N219" s="2">
        <v>140.4</v>
      </c>
      <c r="O219" s="2">
        <v>128.1</v>
      </c>
      <c r="P219" s="2">
        <v>153.19999999999999</v>
      </c>
      <c r="Q219" s="2">
        <v>137.30000000000001</v>
      </c>
      <c r="R219" s="2">
        <v>164.7</v>
      </c>
      <c r="S219" s="2">
        <v>143</v>
      </c>
      <c r="T219" s="2">
        <v>130.4</v>
      </c>
      <c r="U219" s="2">
        <v>141.1</v>
      </c>
      <c r="V219" s="2">
        <v>158.4</v>
      </c>
      <c r="W219" s="2">
        <v>128.6</v>
      </c>
      <c r="X219" s="2">
        <v>136.30000000000001</v>
      </c>
      <c r="Y219" s="2">
        <v>137.80000000000001</v>
      </c>
      <c r="Z219" s="2">
        <v>118.6</v>
      </c>
      <c r="AA219" s="2">
        <v>131.9</v>
      </c>
      <c r="AB219" s="2">
        <v>146.6</v>
      </c>
      <c r="AC219" s="2">
        <v>131.69999999999999</v>
      </c>
      <c r="AD219" s="2">
        <v>131.80000000000001</v>
      </c>
      <c r="AE219" s="2">
        <v>138</v>
      </c>
      <c r="AG219" s="20">
        <f t="shared" si="12"/>
        <v>134.17692307692309</v>
      </c>
      <c r="AH219" s="2">
        <v>164.7</v>
      </c>
      <c r="AI219" s="20">
        <f t="shared" si="13"/>
        <v>141.1</v>
      </c>
      <c r="AJ219" s="20">
        <f t="shared" si="14"/>
        <v>138.16666666666666</v>
      </c>
      <c r="AK219" s="20">
        <f t="shared" si="15"/>
        <v>133.06666666666663</v>
      </c>
    </row>
    <row r="220" spans="1:37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137.1</v>
      </c>
      <c r="F220" s="2">
        <v>151.4</v>
      </c>
      <c r="G220" s="2">
        <v>140.19999999999999</v>
      </c>
      <c r="H220" s="2">
        <v>142.1</v>
      </c>
      <c r="I220" s="2">
        <v>121.8</v>
      </c>
      <c r="J220" s="2">
        <v>135.4</v>
      </c>
      <c r="K220" s="2">
        <v>131.30000000000001</v>
      </c>
      <c r="L220" s="2">
        <v>120.3</v>
      </c>
      <c r="M220" s="2">
        <v>109.1</v>
      </c>
      <c r="N220" s="2">
        <v>139.4</v>
      </c>
      <c r="O220" s="2">
        <v>133.30000000000001</v>
      </c>
      <c r="P220" s="2">
        <v>154.6</v>
      </c>
      <c r="Q220" s="2">
        <v>137.4</v>
      </c>
      <c r="R220" s="2">
        <v>163.19999999999999</v>
      </c>
      <c r="S220" s="2">
        <v>147.6</v>
      </c>
      <c r="T220" s="2">
        <v>139</v>
      </c>
      <c r="U220" s="2">
        <v>146.4</v>
      </c>
      <c r="V220" s="2">
        <v>157.69999999999999</v>
      </c>
      <c r="W220" s="2">
        <v>139.5</v>
      </c>
      <c r="X220" s="2">
        <v>143.6</v>
      </c>
      <c r="Y220" s="2">
        <v>145.1</v>
      </c>
      <c r="Z220" s="2">
        <v>123.3</v>
      </c>
      <c r="AA220" s="2">
        <v>136.69999999999999</v>
      </c>
      <c r="AB220" s="2">
        <v>150.19999999999999</v>
      </c>
      <c r="AC220" s="2">
        <v>132.80000000000001</v>
      </c>
      <c r="AD220" s="2">
        <v>136.9</v>
      </c>
      <c r="AE220" s="2">
        <v>139.6</v>
      </c>
      <c r="AG220" s="20">
        <f t="shared" si="12"/>
        <v>134.87692307692308</v>
      </c>
      <c r="AH220" s="2">
        <v>163.19999999999999</v>
      </c>
      <c r="AI220" s="20">
        <f t="shared" si="13"/>
        <v>146.93333333333331</v>
      </c>
      <c r="AJ220" s="20">
        <f t="shared" si="14"/>
        <v>144.33333333333334</v>
      </c>
      <c r="AK220" s="20">
        <f t="shared" si="15"/>
        <v>137.49999999999997</v>
      </c>
    </row>
    <row r="221" spans="1:37" ht="15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136.80000000000001</v>
      </c>
      <c r="F221" s="2">
        <v>153</v>
      </c>
      <c r="G221" s="2">
        <v>139.1</v>
      </c>
      <c r="H221" s="2">
        <v>142.5</v>
      </c>
      <c r="I221" s="2">
        <v>124.1</v>
      </c>
      <c r="J221" s="2">
        <v>135.80000000000001</v>
      </c>
      <c r="K221" s="2">
        <v>128.69999999999999</v>
      </c>
      <c r="L221" s="2">
        <v>121.5</v>
      </c>
      <c r="M221" s="2">
        <v>108.3</v>
      </c>
      <c r="N221" s="2">
        <v>139.19999999999999</v>
      </c>
      <c r="O221" s="2">
        <v>137.4</v>
      </c>
      <c r="P221" s="2">
        <v>156.19999999999999</v>
      </c>
      <c r="Q221" s="2">
        <v>137.19999999999999</v>
      </c>
      <c r="R221" s="2">
        <v>162.80000000000001</v>
      </c>
      <c r="S221" s="2">
        <v>150.5</v>
      </c>
      <c r="T221" s="2">
        <v>146.1</v>
      </c>
      <c r="U221" s="2">
        <v>149.9</v>
      </c>
      <c r="V221" s="2">
        <f>VLOOKUP($A221,'Impute housing Missing Value'!$A$1:$C$125,3,0)</f>
        <v>148.5</v>
      </c>
      <c r="W221" s="2">
        <v>145.30000000000001</v>
      </c>
      <c r="X221" s="2">
        <v>150.1</v>
      </c>
      <c r="Y221" s="2">
        <v>149.9</v>
      </c>
      <c r="Z221" s="2">
        <v>129.19999999999999</v>
      </c>
      <c r="AA221" s="2">
        <v>143.4</v>
      </c>
      <c r="AB221" s="2">
        <v>155.5</v>
      </c>
      <c r="AC221" s="2">
        <v>134.9</v>
      </c>
      <c r="AD221" s="2">
        <v>142.19999999999999</v>
      </c>
      <c r="AE221" s="2">
        <v>141</v>
      </c>
      <c r="AG221" s="20">
        <f t="shared" si="12"/>
        <v>135.3692307692308</v>
      </c>
      <c r="AH221" s="2">
        <v>162.80000000000001</v>
      </c>
      <c r="AI221" s="20">
        <f t="shared" si="13"/>
        <v>147.96666666666667</v>
      </c>
      <c r="AJ221" s="20">
        <f t="shared" si="14"/>
        <v>148.83333333333334</v>
      </c>
      <c r="AK221" s="20">
        <f t="shared" si="15"/>
        <v>142.51666666666665</v>
      </c>
    </row>
    <row r="222" spans="1:37" ht="15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139.4</v>
      </c>
      <c r="F222" s="2">
        <v>150.1</v>
      </c>
      <c r="G222" s="2">
        <v>145.30000000000001</v>
      </c>
      <c r="H222" s="2">
        <v>141.69999999999999</v>
      </c>
      <c r="I222" s="2">
        <v>118.4</v>
      </c>
      <c r="J222" s="2">
        <v>137</v>
      </c>
      <c r="K222" s="2">
        <v>131.6</v>
      </c>
      <c r="L222" s="2">
        <v>119.9</v>
      </c>
      <c r="M222" s="2">
        <v>110.4</v>
      </c>
      <c r="N222" s="2">
        <v>140.80000000000001</v>
      </c>
      <c r="O222" s="2">
        <v>128.30000000000001</v>
      </c>
      <c r="P222" s="2">
        <v>153.5</v>
      </c>
      <c r="Q222" s="2">
        <v>138</v>
      </c>
      <c r="R222" s="2">
        <v>164.9</v>
      </c>
      <c r="S222" s="2">
        <v>143.30000000000001</v>
      </c>
      <c r="T222" s="2">
        <v>130.80000000000001</v>
      </c>
      <c r="U222" s="2">
        <v>141.4</v>
      </c>
      <c r="V222" s="2">
        <v>159.9</v>
      </c>
      <c r="W222" s="2">
        <v>127.1</v>
      </c>
      <c r="X222" s="2">
        <v>136.6</v>
      </c>
      <c r="Y222" s="2">
        <v>138.5</v>
      </c>
      <c r="Z222" s="2">
        <v>119.2</v>
      </c>
      <c r="AA222" s="2">
        <v>132.19999999999999</v>
      </c>
      <c r="AB222" s="2">
        <v>146.6</v>
      </c>
      <c r="AC222" s="2">
        <v>133</v>
      </c>
      <c r="AD222" s="2">
        <v>132.4</v>
      </c>
      <c r="AE222" s="2">
        <v>138.6</v>
      </c>
      <c r="AG222" s="20">
        <f t="shared" si="12"/>
        <v>134.95384615384617</v>
      </c>
      <c r="AH222" s="2">
        <v>164.9</v>
      </c>
      <c r="AI222" s="20">
        <f t="shared" si="13"/>
        <v>141.20000000000002</v>
      </c>
      <c r="AJ222" s="20">
        <f t="shared" si="14"/>
        <v>138.5</v>
      </c>
      <c r="AK222" s="20">
        <f t="shared" si="15"/>
        <v>133.65</v>
      </c>
    </row>
    <row r="223" spans="1:37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137.6</v>
      </c>
      <c r="F223" s="2">
        <v>152</v>
      </c>
      <c r="G223" s="2">
        <v>141.5</v>
      </c>
      <c r="H223" s="2">
        <v>142.19999999999999</v>
      </c>
      <c r="I223" s="2">
        <v>122</v>
      </c>
      <c r="J223" s="2">
        <v>136.4</v>
      </c>
      <c r="K223" s="2">
        <v>129.69999999999999</v>
      </c>
      <c r="L223" s="2">
        <v>121</v>
      </c>
      <c r="M223" s="2">
        <v>109</v>
      </c>
      <c r="N223" s="2">
        <v>139.69999999999999</v>
      </c>
      <c r="O223" s="2">
        <v>133.6</v>
      </c>
      <c r="P223" s="2">
        <v>154.9</v>
      </c>
      <c r="Q223" s="2">
        <v>137.5</v>
      </c>
      <c r="R223" s="2">
        <v>163.4</v>
      </c>
      <c r="S223" s="2">
        <v>147.69999999999999</v>
      </c>
      <c r="T223" s="2">
        <v>139.69999999999999</v>
      </c>
      <c r="U223" s="2">
        <v>146.5</v>
      </c>
      <c r="V223" s="2">
        <v>161.4</v>
      </c>
      <c r="W223" s="2">
        <v>138.4</v>
      </c>
      <c r="X223" s="2">
        <v>143.69999999999999</v>
      </c>
      <c r="Y223" s="2">
        <v>145.6</v>
      </c>
      <c r="Z223" s="2">
        <v>123.9</v>
      </c>
      <c r="AA223" s="2">
        <v>137.1</v>
      </c>
      <c r="AB223" s="2">
        <v>150.30000000000001</v>
      </c>
      <c r="AC223" s="2">
        <v>134.1</v>
      </c>
      <c r="AD223" s="2">
        <v>137.4</v>
      </c>
      <c r="AE223" s="2">
        <v>139.9</v>
      </c>
      <c r="AG223" s="20">
        <f t="shared" si="12"/>
        <v>135.16153846153844</v>
      </c>
      <c r="AH223" s="2">
        <v>163.4</v>
      </c>
      <c r="AI223" s="20">
        <f t="shared" si="13"/>
        <v>147.83333333333334</v>
      </c>
      <c r="AJ223" s="20">
        <f t="shared" si="14"/>
        <v>144.63333333333333</v>
      </c>
      <c r="AK223" s="20">
        <f t="shared" si="15"/>
        <v>138.06666666666669</v>
      </c>
    </row>
    <row r="224" spans="1:37" ht="15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136.9</v>
      </c>
      <c r="F224" s="2">
        <v>154.1</v>
      </c>
      <c r="G224" s="2">
        <v>138.69999999999999</v>
      </c>
      <c r="H224" s="2">
        <v>142.5</v>
      </c>
      <c r="I224" s="2">
        <v>124.1</v>
      </c>
      <c r="J224" s="2">
        <v>136.1</v>
      </c>
      <c r="K224" s="2">
        <v>128.19999999999999</v>
      </c>
      <c r="L224" s="2">
        <v>122.3</v>
      </c>
      <c r="M224" s="2">
        <v>108.3</v>
      </c>
      <c r="N224" s="2">
        <v>138.9</v>
      </c>
      <c r="O224" s="2">
        <v>137.4</v>
      </c>
      <c r="P224" s="2">
        <v>156.4</v>
      </c>
      <c r="Q224" s="2">
        <v>137.30000000000001</v>
      </c>
      <c r="R224" s="2">
        <v>162.9</v>
      </c>
      <c r="S224" s="2">
        <v>150.80000000000001</v>
      </c>
      <c r="T224" s="2">
        <v>146.1</v>
      </c>
      <c r="U224" s="2">
        <v>150.1</v>
      </c>
      <c r="V224" s="2">
        <f>VLOOKUP($A224,'Impute housing Missing Value'!$A$1:$C$125,3,0)</f>
        <v>149</v>
      </c>
      <c r="W224" s="2">
        <v>146.4</v>
      </c>
      <c r="X224" s="2">
        <v>150</v>
      </c>
      <c r="Y224" s="2">
        <v>150.4</v>
      </c>
      <c r="Z224" s="2">
        <v>129.9</v>
      </c>
      <c r="AA224" s="2">
        <v>143.80000000000001</v>
      </c>
      <c r="AB224" s="2">
        <v>155.5</v>
      </c>
      <c r="AC224" s="2">
        <v>134</v>
      </c>
      <c r="AD224" s="2">
        <v>142.4</v>
      </c>
      <c r="AE224" s="2">
        <v>141.19999999999999</v>
      </c>
      <c r="AG224" s="20">
        <f t="shared" si="12"/>
        <v>135.4769230769231</v>
      </c>
      <c r="AH224" s="2">
        <v>162.9</v>
      </c>
      <c r="AI224" s="20">
        <f t="shared" si="13"/>
        <v>148.46666666666667</v>
      </c>
      <c r="AJ224" s="20">
        <f t="shared" si="14"/>
        <v>149</v>
      </c>
      <c r="AK224" s="20">
        <f t="shared" si="15"/>
        <v>142.66666666666666</v>
      </c>
    </row>
    <row r="225" spans="1:37" ht="15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139.69999999999999</v>
      </c>
      <c r="F225" s="2">
        <v>151.1</v>
      </c>
      <c r="G225" s="2">
        <v>142.9</v>
      </c>
      <c r="H225" s="2">
        <v>141.9</v>
      </c>
      <c r="I225" s="2">
        <v>118.4</v>
      </c>
      <c r="J225" s="2">
        <v>139.4</v>
      </c>
      <c r="K225" s="2">
        <v>141.19999999999999</v>
      </c>
      <c r="L225" s="2">
        <v>120.7</v>
      </c>
      <c r="M225" s="2">
        <v>110.4</v>
      </c>
      <c r="N225" s="2">
        <v>140.69999999999999</v>
      </c>
      <c r="O225" s="2">
        <v>128.5</v>
      </c>
      <c r="P225" s="2">
        <v>153.9</v>
      </c>
      <c r="Q225" s="2">
        <v>139.6</v>
      </c>
      <c r="R225" s="2">
        <v>165.3</v>
      </c>
      <c r="S225" s="2">
        <v>143.5</v>
      </c>
      <c r="T225" s="2">
        <v>131.19999999999999</v>
      </c>
      <c r="U225" s="2">
        <v>141.6</v>
      </c>
      <c r="V225" s="2">
        <v>160.5</v>
      </c>
      <c r="W225" s="2">
        <v>128.80000000000001</v>
      </c>
      <c r="X225" s="2">
        <v>136.80000000000001</v>
      </c>
      <c r="Y225" s="2">
        <v>139.19999999999999</v>
      </c>
      <c r="Z225" s="2">
        <v>119.9</v>
      </c>
      <c r="AA225" s="2">
        <v>133</v>
      </c>
      <c r="AB225" s="2">
        <v>146.69999999999999</v>
      </c>
      <c r="AC225" s="2">
        <v>132.5</v>
      </c>
      <c r="AD225" s="2">
        <v>132.80000000000001</v>
      </c>
      <c r="AE225" s="2">
        <v>139.5</v>
      </c>
      <c r="AG225" s="20">
        <f t="shared" si="12"/>
        <v>136.03076923076924</v>
      </c>
      <c r="AH225" s="2">
        <v>165.3</v>
      </c>
      <c r="AI225" s="20">
        <f t="shared" si="13"/>
        <v>142.03333333333333</v>
      </c>
      <c r="AJ225" s="20">
        <f t="shared" si="14"/>
        <v>138.76666666666665</v>
      </c>
      <c r="AK225" s="20">
        <f t="shared" si="15"/>
        <v>134.01666666666665</v>
      </c>
    </row>
    <row r="226" spans="1:37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137.80000000000001</v>
      </c>
      <c r="F226" s="2">
        <v>153</v>
      </c>
      <c r="G226" s="2">
        <v>140.30000000000001</v>
      </c>
      <c r="H226" s="2">
        <v>142.30000000000001</v>
      </c>
      <c r="I226" s="2">
        <v>122</v>
      </c>
      <c r="J226" s="2">
        <v>137.6</v>
      </c>
      <c r="K226" s="2">
        <v>132.6</v>
      </c>
      <c r="L226" s="2">
        <v>121.8</v>
      </c>
      <c r="M226" s="2">
        <v>109</v>
      </c>
      <c r="N226" s="2">
        <v>139.5</v>
      </c>
      <c r="O226" s="2">
        <v>133.69999999999999</v>
      </c>
      <c r="P226" s="2">
        <v>155.19999999999999</v>
      </c>
      <c r="Q226" s="2">
        <v>138.1</v>
      </c>
      <c r="R226" s="2">
        <v>163.5</v>
      </c>
      <c r="S226" s="2">
        <v>147.9</v>
      </c>
      <c r="T226" s="2">
        <v>139.9</v>
      </c>
      <c r="U226" s="2">
        <v>146.69999999999999</v>
      </c>
      <c r="V226" s="2">
        <v>161.5</v>
      </c>
      <c r="W226" s="2">
        <v>139.69999999999999</v>
      </c>
      <c r="X226" s="2">
        <v>143.80000000000001</v>
      </c>
      <c r="Y226" s="2">
        <v>146.19999999999999</v>
      </c>
      <c r="Z226" s="2">
        <v>124.6</v>
      </c>
      <c r="AA226" s="2">
        <v>137.69999999999999</v>
      </c>
      <c r="AB226" s="2">
        <v>150.30000000000001</v>
      </c>
      <c r="AC226" s="2">
        <v>133.4</v>
      </c>
      <c r="AD226" s="2">
        <v>137.69999999999999</v>
      </c>
      <c r="AE226" s="2">
        <v>140.4</v>
      </c>
      <c r="AG226" s="20">
        <f t="shared" si="12"/>
        <v>135.6076923076923</v>
      </c>
      <c r="AH226" s="2">
        <v>163.5</v>
      </c>
      <c r="AI226" s="20">
        <f t="shared" si="13"/>
        <v>148.33333333333334</v>
      </c>
      <c r="AJ226" s="20">
        <f t="shared" si="14"/>
        <v>144.83333333333334</v>
      </c>
      <c r="AK226" s="20">
        <f t="shared" si="15"/>
        <v>138.31666666666663</v>
      </c>
    </row>
    <row r="227" spans="1:37" ht="15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137.4</v>
      </c>
      <c r="F227" s="2">
        <v>159.5</v>
      </c>
      <c r="G227" s="2">
        <v>134.5</v>
      </c>
      <c r="H227" s="2">
        <v>142.6</v>
      </c>
      <c r="I227" s="2">
        <v>124</v>
      </c>
      <c r="J227" s="2">
        <v>143.69999999999999</v>
      </c>
      <c r="K227" s="2">
        <v>133.4</v>
      </c>
      <c r="L227" s="2">
        <v>125.1</v>
      </c>
      <c r="M227" s="2">
        <v>109.3</v>
      </c>
      <c r="N227" s="2">
        <v>139.30000000000001</v>
      </c>
      <c r="O227" s="2">
        <v>137.69999999999999</v>
      </c>
      <c r="P227" s="2">
        <v>156.4</v>
      </c>
      <c r="Q227" s="2">
        <v>139.19999999999999</v>
      </c>
      <c r="R227" s="2">
        <v>163.30000000000001</v>
      </c>
      <c r="S227" s="2">
        <v>151.30000000000001</v>
      </c>
      <c r="T227" s="2">
        <v>146.6</v>
      </c>
      <c r="U227" s="2">
        <v>150.69999999999999</v>
      </c>
      <c r="V227" s="2">
        <f>VLOOKUP($A227,'Impute housing Missing Value'!$A$1:$C$125,3,0)</f>
        <v>150.1</v>
      </c>
      <c r="W227" s="2">
        <v>146.9</v>
      </c>
      <c r="X227" s="2">
        <v>149.5</v>
      </c>
      <c r="Y227" s="2">
        <v>151.30000000000001</v>
      </c>
      <c r="Z227" s="2">
        <v>130.19999999999999</v>
      </c>
      <c r="AA227" s="2">
        <v>145.9</v>
      </c>
      <c r="AB227" s="2">
        <v>156.69999999999999</v>
      </c>
      <c r="AC227" s="2">
        <v>133.9</v>
      </c>
      <c r="AD227" s="2">
        <v>142.9</v>
      </c>
      <c r="AE227" s="2">
        <v>142.4</v>
      </c>
      <c r="AG227" s="20">
        <f t="shared" si="12"/>
        <v>137.0846153846154</v>
      </c>
      <c r="AH227" s="2">
        <v>163.30000000000001</v>
      </c>
      <c r="AI227" s="20">
        <f t="shared" si="13"/>
        <v>148.83333333333334</v>
      </c>
      <c r="AJ227" s="20">
        <f t="shared" si="14"/>
        <v>149.53333333333333</v>
      </c>
      <c r="AK227" s="20">
        <f t="shared" si="15"/>
        <v>143.48333333333332</v>
      </c>
    </row>
    <row r="228" spans="1:37" ht="15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140.4</v>
      </c>
      <c r="F228" s="2">
        <v>156.69999999999999</v>
      </c>
      <c r="G228" s="2">
        <v>138.30000000000001</v>
      </c>
      <c r="H228" s="2">
        <v>142.4</v>
      </c>
      <c r="I228" s="2">
        <v>118.6</v>
      </c>
      <c r="J228" s="2">
        <v>149.69999999999999</v>
      </c>
      <c r="K228" s="2">
        <v>161.6</v>
      </c>
      <c r="L228" s="2">
        <v>124.4</v>
      </c>
      <c r="M228" s="2">
        <v>111.2</v>
      </c>
      <c r="N228" s="2">
        <v>141</v>
      </c>
      <c r="O228" s="2">
        <v>128.9</v>
      </c>
      <c r="P228" s="2">
        <v>154.5</v>
      </c>
      <c r="Q228" s="2">
        <v>143.80000000000001</v>
      </c>
      <c r="R228" s="2">
        <v>166.2</v>
      </c>
      <c r="S228" s="2">
        <v>144</v>
      </c>
      <c r="T228" s="2">
        <v>131.69999999999999</v>
      </c>
      <c r="U228" s="2">
        <v>142.19999999999999</v>
      </c>
      <c r="V228" s="2">
        <v>162.1</v>
      </c>
      <c r="W228" s="2">
        <v>129.4</v>
      </c>
      <c r="X228" s="2">
        <v>137.19999999999999</v>
      </c>
      <c r="Y228" s="2">
        <v>139.80000000000001</v>
      </c>
      <c r="Z228" s="2">
        <v>120.1</v>
      </c>
      <c r="AA228" s="2">
        <v>134</v>
      </c>
      <c r="AB228" s="2">
        <v>148</v>
      </c>
      <c r="AC228" s="2">
        <v>132.6</v>
      </c>
      <c r="AD228" s="2">
        <v>133.30000000000001</v>
      </c>
      <c r="AE228" s="2">
        <v>141.5</v>
      </c>
      <c r="AG228" s="20">
        <f t="shared" si="12"/>
        <v>139.34615384615387</v>
      </c>
      <c r="AH228" s="2">
        <v>166.2</v>
      </c>
      <c r="AI228" s="20">
        <f t="shared" si="13"/>
        <v>142.9</v>
      </c>
      <c r="AJ228" s="20">
        <f t="shared" si="14"/>
        <v>139.29999999999998</v>
      </c>
      <c r="AK228" s="20">
        <f t="shared" si="15"/>
        <v>134.63333333333333</v>
      </c>
    </row>
    <row r="229" spans="1:37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138.30000000000001</v>
      </c>
      <c r="F229" s="2">
        <v>158.5</v>
      </c>
      <c r="G229" s="2">
        <v>136</v>
      </c>
      <c r="H229" s="2">
        <v>142.5</v>
      </c>
      <c r="I229" s="2">
        <v>122</v>
      </c>
      <c r="J229" s="2">
        <v>146.5</v>
      </c>
      <c r="K229" s="2">
        <v>143</v>
      </c>
      <c r="L229" s="2">
        <v>124.9</v>
      </c>
      <c r="M229" s="2">
        <v>109.9</v>
      </c>
      <c r="N229" s="2">
        <v>139.9</v>
      </c>
      <c r="O229" s="2">
        <v>134</v>
      </c>
      <c r="P229" s="2">
        <v>155.5</v>
      </c>
      <c r="Q229" s="2">
        <v>140.9</v>
      </c>
      <c r="R229" s="2">
        <v>164.1</v>
      </c>
      <c r="S229" s="2">
        <v>148.4</v>
      </c>
      <c r="T229" s="2">
        <v>140.4</v>
      </c>
      <c r="U229" s="2">
        <v>147.30000000000001</v>
      </c>
      <c r="V229" s="2">
        <v>163.6</v>
      </c>
      <c r="W229" s="2">
        <v>140.30000000000001</v>
      </c>
      <c r="X229" s="2">
        <v>143.69999999999999</v>
      </c>
      <c r="Y229" s="2">
        <v>146.9</v>
      </c>
      <c r="Z229" s="2">
        <v>124.9</v>
      </c>
      <c r="AA229" s="2">
        <v>139.19999999999999</v>
      </c>
      <c r="AB229" s="2">
        <v>151.6</v>
      </c>
      <c r="AC229" s="2">
        <v>133.4</v>
      </c>
      <c r="AD229" s="2">
        <v>138.19999999999999</v>
      </c>
      <c r="AE229" s="2">
        <v>142</v>
      </c>
      <c r="AG229" s="20">
        <f t="shared" si="12"/>
        <v>137.83846153846156</v>
      </c>
      <c r="AH229" s="2">
        <v>164.1</v>
      </c>
      <c r="AI229" s="20">
        <f t="shared" si="13"/>
        <v>149.19999999999999</v>
      </c>
      <c r="AJ229" s="20">
        <f t="shared" si="14"/>
        <v>145.36666666666667</v>
      </c>
      <c r="AK229" s="20">
        <f t="shared" si="15"/>
        <v>139.03333333333333</v>
      </c>
    </row>
    <row r="230" spans="1:37" ht="15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137.80000000000001</v>
      </c>
      <c r="F230" s="2">
        <v>163.5</v>
      </c>
      <c r="G230" s="2">
        <v>136.19999999999999</v>
      </c>
      <c r="H230" s="2">
        <v>143.19999999999999</v>
      </c>
      <c r="I230" s="2">
        <v>124.3</v>
      </c>
      <c r="J230" s="2">
        <v>143.30000000000001</v>
      </c>
      <c r="K230" s="2">
        <v>140.6</v>
      </c>
      <c r="L230" s="2">
        <v>128.69999999999999</v>
      </c>
      <c r="M230" s="2">
        <v>110.6</v>
      </c>
      <c r="N230" s="2">
        <v>140.4</v>
      </c>
      <c r="O230" s="2">
        <v>138</v>
      </c>
      <c r="P230" s="2">
        <v>156.6</v>
      </c>
      <c r="Q230" s="2">
        <v>141</v>
      </c>
      <c r="R230" s="2">
        <v>164.2</v>
      </c>
      <c r="S230" s="2">
        <v>151.4</v>
      </c>
      <c r="T230" s="2">
        <v>146.5</v>
      </c>
      <c r="U230" s="2">
        <v>150.69999999999999</v>
      </c>
      <c r="V230" s="2">
        <f>VLOOKUP($A230,'Impute housing Missing Value'!$A$1:$C$125,3,0)</f>
        <v>149.4</v>
      </c>
      <c r="W230" s="2">
        <v>147.80000000000001</v>
      </c>
      <c r="X230" s="2">
        <v>149.6</v>
      </c>
      <c r="Y230" s="2">
        <v>151.69999999999999</v>
      </c>
      <c r="Z230" s="2">
        <v>130.19999999999999</v>
      </c>
      <c r="AA230" s="2">
        <v>146.4</v>
      </c>
      <c r="AB230" s="2">
        <v>157.69999999999999</v>
      </c>
      <c r="AC230" s="2">
        <v>134.80000000000001</v>
      </c>
      <c r="AD230" s="2">
        <v>143.30000000000001</v>
      </c>
      <c r="AE230" s="2">
        <v>143.6</v>
      </c>
      <c r="AG230" s="20">
        <f t="shared" si="12"/>
        <v>138.78461538461536</v>
      </c>
      <c r="AH230" s="2">
        <v>164.2</v>
      </c>
      <c r="AI230" s="20">
        <f t="shared" si="13"/>
        <v>148.93333333333337</v>
      </c>
      <c r="AJ230" s="20">
        <f t="shared" si="14"/>
        <v>149.53333333333333</v>
      </c>
      <c r="AK230" s="20">
        <f t="shared" si="15"/>
        <v>144.01666666666665</v>
      </c>
    </row>
    <row r="231" spans="1:37" ht="15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140.69999999999999</v>
      </c>
      <c r="F231" s="2">
        <v>159.6</v>
      </c>
      <c r="G231" s="2">
        <v>140.4</v>
      </c>
      <c r="H231" s="2">
        <v>143.4</v>
      </c>
      <c r="I231" s="2">
        <v>118.6</v>
      </c>
      <c r="J231" s="2">
        <v>150.9</v>
      </c>
      <c r="K231" s="2">
        <v>169.8</v>
      </c>
      <c r="L231" s="2">
        <v>127.4</v>
      </c>
      <c r="M231" s="2">
        <v>111.8</v>
      </c>
      <c r="N231" s="2">
        <v>141</v>
      </c>
      <c r="O231" s="2">
        <v>129</v>
      </c>
      <c r="P231" s="2">
        <v>155.1</v>
      </c>
      <c r="Q231" s="2">
        <v>145.6</v>
      </c>
      <c r="R231" s="2">
        <v>166.7</v>
      </c>
      <c r="S231" s="2">
        <v>144.30000000000001</v>
      </c>
      <c r="T231" s="2">
        <v>131.69999999999999</v>
      </c>
      <c r="U231" s="2">
        <v>142.4</v>
      </c>
      <c r="V231" s="2">
        <v>163.4</v>
      </c>
      <c r="W231" s="2">
        <v>130.5</v>
      </c>
      <c r="X231" s="2">
        <v>137.4</v>
      </c>
      <c r="Y231" s="2">
        <v>140.30000000000001</v>
      </c>
      <c r="Z231" s="2">
        <v>119.6</v>
      </c>
      <c r="AA231" s="2">
        <v>134.30000000000001</v>
      </c>
      <c r="AB231" s="2">
        <v>148.9</v>
      </c>
      <c r="AC231" s="2">
        <v>133.69999999999999</v>
      </c>
      <c r="AD231" s="2">
        <v>133.6</v>
      </c>
      <c r="AE231" s="2">
        <v>142.1</v>
      </c>
      <c r="AG231" s="20">
        <f t="shared" si="12"/>
        <v>141.0230769230769</v>
      </c>
      <c r="AH231" s="2">
        <v>166.7</v>
      </c>
      <c r="AI231" s="20">
        <f t="shared" si="13"/>
        <v>143.76666666666665</v>
      </c>
      <c r="AJ231" s="20">
        <f t="shared" si="14"/>
        <v>139.46666666666667</v>
      </c>
      <c r="AK231" s="20">
        <f t="shared" si="15"/>
        <v>135.06666666666666</v>
      </c>
    </row>
    <row r="232" spans="1:37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138.69999999999999</v>
      </c>
      <c r="F232" s="2">
        <v>162.1</v>
      </c>
      <c r="G232" s="2">
        <v>137.80000000000001</v>
      </c>
      <c r="H232" s="2">
        <v>143.30000000000001</v>
      </c>
      <c r="I232" s="2">
        <v>122.2</v>
      </c>
      <c r="J232" s="2">
        <v>146.80000000000001</v>
      </c>
      <c r="K232" s="2">
        <v>150.5</v>
      </c>
      <c r="L232" s="2">
        <v>128.30000000000001</v>
      </c>
      <c r="M232" s="2">
        <v>111</v>
      </c>
      <c r="N232" s="2">
        <v>140.6</v>
      </c>
      <c r="O232" s="2">
        <v>134.19999999999999</v>
      </c>
      <c r="P232" s="2">
        <v>155.9</v>
      </c>
      <c r="Q232" s="2">
        <v>142.69999999999999</v>
      </c>
      <c r="R232" s="2">
        <v>164.9</v>
      </c>
      <c r="S232" s="2">
        <v>148.6</v>
      </c>
      <c r="T232" s="2">
        <v>140.4</v>
      </c>
      <c r="U232" s="2">
        <v>147.4</v>
      </c>
      <c r="V232" s="2">
        <v>164.5</v>
      </c>
      <c r="W232" s="2">
        <v>141.19999999999999</v>
      </c>
      <c r="X232" s="2">
        <v>143.80000000000001</v>
      </c>
      <c r="Y232" s="2">
        <v>147.4</v>
      </c>
      <c r="Z232" s="2">
        <v>124.6</v>
      </c>
      <c r="AA232" s="2">
        <v>139.6</v>
      </c>
      <c r="AB232" s="2">
        <v>152.5</v>
      </c>
      <c r="AC232" s="2">
        <v>134.30000000000001</v>
      </c>
      <c r="AD232" s="2">
        <v>138.6</v>
      </c>
      <c r="AE232" s="2">
        <v>142.9</v>
      </c>
      <c r="AG232" s="20">
        <f t="shared" si="12"/>
        <v>139.54615384615386</v>
      </c>
      <c r="AH232" s="2">
        <v>164.9</v>
      </c>
      <c r="AI232" s="20">
        <f t="shared" si="13"/>
        <v>149.83333333333334</v>
      </c>
      <c r="AJ232" s="20">
        <f t="shared" si="14"/>
        <v>145.46666666666667</v>
      </c>
      <c r="AK232" s="20">
        <f t="shared" si="15"/>
        <v>139.50000000000003</v>
      </c>
    </row>
    <row r="233" spans="1:37" ht="15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138.4</v>
      </c>
      <c r="F233" s="2">
        <v>164</v>
      </c>
      <c r="G233" s="2">
        <v>138.4</v>
      </c>
      <c r="H233" s="2">
        <v>143.9</v>
      </c>
      <c r="I233" s="2">
        <v>124.4</v>
      </c>
      <c r="J233" s="2">
        <v>146.4</v>
      </c>
      <c r="K233" s="2">
        <v>150.1</v>
      </c>
      <c r="L233" s="2">
        <v>130.6</v>
      </c>
      <c r="M233" s="2">
        <v>110.8</v>
      </c>
      <c r="N233" s="2">
        <v>141.69999999999999</v>
      </c>
      <c r="O233" s="2">
        <v>138.5</v>
      </c>
      <c r="P233" s="2">
        <v>156.69999999999999</v>
      </c>
      <c r="Q233" s="2">
        <v>143</v>
      </c>
      <c r="R233" s="2">
        <v>164.5</v>
      </c>
      <c r="S233" s="2">
        <v>151.6</v>
      </c>
      <c r="T233" s="2">
        <v>146.6</v>
      </c>
      <c r="U233" s="2">
        <v>150.9</v>
      </c>
      <c r="V233" s="2">
        <f>VLOOKUP($A233,'Impute housing Missing Value'!$A$1:$C$125,3,0)</f>
        <v>150.6</v>
      </c>
      <c r="W233" s="2">
        <v>146.80000000000001</v>
      </c>
      <c r="X233" s="2">
        <v>150</v>
      </c>
      <c r="Y233" s="2">
        <v>152.19999999999999</v>
      </c>
      <c r="Z233" s="2">
        <v>131.19999999999999</v>
      </c>
      <c r="AA233" s="2">
        <v>147.5</v>
      </c>
      <c r="AB233" s="2">
        <v>159.1</v>
      </c>
      <c r="AC233" s="2">
        <v>136.1</v>
      </c>
      <c r="AD233" s="2">
        <v>144.19999999999999</v>
      </c>
      <c r="AE233" s="2">
        <v>144.9</v>
      </c>
      <c r="AG233" s="20">
        <f t="shared" si="12"/>
        <v>140.53076923076921</v>
      </c>
      <c r="AH233" s="2">
        <v>164.5</v>
      </c>
      <c r="AI233" s="20">
        <f t="shared" si="13"/>
        <v>149.13333333333333</v>
      </c>
      <c r="AJ233" s="20">
        <f t="shared" si="14"/>
        <v>149.70000000000002</v>
      </c>
      <c r="AK233" s="20">
        <f t="shared" si="15"/>
        <v>145.04999999999998</v>
      </c>
    </row>
    <row r="234" spans="1:37" ht="15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141.4</v>
      </c>
      <c r="F234" s="2">
        <v>160.19999999999999</v>
      </c>
      <c r="G234" s="2">
        <v>142.5</v>
      </c>
      <c r="H234" s="2">
        <v>144.1</v>
      </c>
      <c r="I234" s="2">
        <v>119.3</v>
      </c>
      <c r="J234" s="2">
        <v>154.69999999999999</v>
      </c>
      <c r="K234" s="2">
        <v>180.1</v>
      </c>
      <c r="L234" s="2">
        <v>128.9</v>
      </c>
      <c r="M234" s="2">
        <v>111.8</v>
      </c>
      <c r="N234" s="2">
        <v>141.6</v>
      </c>
      <c r="O234" s="2">
        <v>129.5</v>
      </c>
      <c r="P234" s="2">
        <v>155.6</v>
      </c>
      <c r="Q234" s="2">
        <v>147.69999999999999</v>
      </c>
      <c r="R234" s="2">
        <v>167.2</v>
      </c>
      <c r="S234" s="2">
        <v>144.69999999999999</v>
      </c>
      <c r="T234" s="2">
        <v>131.9</v>
      </c>
      <c r="U234" s="2">
        <v>142.69999999999999</v>
      </c>
      <c r="V234" s="2">
        <v>165.3</v>
      </c>
      <c r="W234" s="2">
        <v>127</v>
      </c>
      <c r="X234" s="2">
        <v>137.69999999999999</v>
      </c>
      <c r="Y234" s="2">
        <v>140.80000000000001</v>
      </c>
      <c r="Z234" s="2">
        <v>120.6</v>
      </c>
      <c r="AA234" s="2">
        <v>135</v>
      </c>
      <c r="AB234" s="2">
        <v>150.4</v>
      </c>
      <c r="AC234" s="2">
        <v>135.1</v>
      </c>
      <c r="AD234" s="2">
        <v>134.5</v>
      </c>
      <c r="AE234" s="2">
        <v>143.30000000000001</v>
      </c>
      <c r="AG234" s="20">
        <f t="shared" si="12"/>
        <v>142.87692307692308</v>
      </c>
      <c r="AH234" s="2">
        <v>167.2</v>
      </c>
      <c r="AI234" s="20">
        <f t="shared" si="13"/>
        <v>143.33333333333334</v>
      </c>
      <c r="AJ234" s="20">
        <f t="shared" si="14"/>
        <v>139.76666666666668</v>
      </c>
      <c r="AK234" s="20">
        <f t="shared" si="15"/>
        <v>136.06666666666666</v>
      </c>
    </row>
    <row r="235" spans="1:37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139.30000000000001</v>
      </c>
      <c r="F235" s="2">
        <v>162.69999999999999</v>
      </c>
      <c r="G235" s="2">
        <v>140</v>
      </c>
      <c r="H235" s="2">
        <v>144</v>
      </c>
      <c r="I235" s="2">
        <v>122.5</v>
      </c>
      <c r="J235" s="2">
        <v>150.30000000000001</v>
      </c>
      <c r="K235" s="2">
        <v>160.30000000000001</v>
      </c>
      <c r="L235" s="2">
        <v>130</v>
      </c>
      <c r="M235" s="2">
        <v>111.1</v>
      </c>
      <c r="N235" s="2">
        <v>141.69999999999999</v>
      </c>
      <c r="O235" s="2">
        <v>134.69999999999999</v>
      </c>
      <c r="P235" s="2">
        <v>156.19999999999999</v>
      </c>
      <c r="Q235" s="2">
        <v>144.69999999999999</v>
      </c>
      <c r="R235" s="2">
        <v>165.2</v>
      </c>
      <c r="S235" s="2">
        <v>148.9</v>
      </c>
      <c r="T235" s="2">
        <v>140.5</v>
      </c>
      <c r="U235" s="2">
        <v>147.6</v>
      </c>
      <c r="V235" s="2">
        <v>167</v>
      </c>
      <c r="W235" s="2">
        <v>139.30000000000001</v>
      </c>
      <c r="X235" s="2">
        <v>144.19999999999999</v>
      </c>
      <c r="Y235" s="2">
        <v>147.9</v>
      </c>
      <c r="Z235" s="2">
        <v>125.6</v>
      </c>
      <c r="AA235" s="2">
        <v>140.5</v>
      </c>
      <c r="AB235" s="2">
        <v>154</v>
      </c>
      <c r="AC235" s="2">
        <v>135.69999999999999</v>
      </c>
      <c r="AD235" s="2">
        <v>139.5</v>
      </c>
      <c r="AE235" s="2">
        <v>144.19999999999999</v>
      </c>
      <c r="AG235" s="20">
        <f t="shared" si="12"/>
        <v>141.34615384615384</v>
      </c>
      <c r="AH235" s="2">
        <v>165.2</v>
      </c>
      <c r="AI235" s="20">
        <f t="shared" si="13"/>
        <v>150.16666666666666</v>
      </c>
      <c r="AJ235" s="20">
        <f t="shared" si="14"/>
        <v>145.66666666666666</v>
      </c>
      <c r="AK235" s="20">
        <f t="shared" si="15"/>
        <v>140.53333333333333</v>
      </c>
    </row>
    <row r="236" spans="1:37" ht="15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139.19999999999999</v>
      </c>
      <c r="F236" s="2">
        <v>161.9</v>
      </c>
      <c r="G236" s="2">
        <v>137.1</v>
      </c>
      <c r="H236" s="2">
        <v>144.6</v>
      </c>
      <c r="I236" s="2">
        <v>124.7</v>
      </c>
      <c r="J236" s="2">
        <v>145.5</v>
      </c>
      <c r="K236" s="2">
        <v>156.19999999999999</v>
      </c>
      <c r="L236" s="2">
        <v>131.5</v>
      </c>
      <c r="M236" s="2">
        <v>111.7</v>
      </c>
      <c r="N236" s="2">
        <v>142.69999999999999</v>
      </c>
      <c r="O236" s="2">
        <v>138.5</v>
      </c>
      <c r="P236" s="2">
        <v>156.9</v>
      </c>
      <c r="Q236" s="2">
        <v>144</v>
      </c>
      <c r="R236" s="2">
        <v>165.1</v>
      </c>
      <c r="S236" s="2">
        <v>151.80000000000001</v>
      </c>
      <c r="T236" s="2">
        <v>146.6</v>
      </c>
      <c r="U236" s="2">
        <v>151.1</v>
      </c>
      <c r="V236" s="2">
        <f>VLOOKUP($A236,'Impute housing Missing Value'!$A$1:$C$125,3,0)</f>
        <v>151.6</v>
      </c>
      <c r="W236" s="2">
        <v>146.4</v>
      </c>
      <c r="X236" s="2">
        <v>150.19999999999999</v>
      </c>
      <c r="Y236" s="2">
        <v>152.69999999999999</v>
      </c>
      <c r="Z236" s="2">
        <v>131.4</v>
      </c>
      <c r="AA236" s="2">
        <v>148</v>
      </c>
      <c r="AB236" s="2">
        <v>159.69999999999999</v>
      </c>
      <c r="AC236" s="2">
        <v>138.80000000000001</v>
      </c>
      <c r="AD236" s="2">
        <v>144.9</v>
      </c>
      <c r="AE236" s="2">
        <v>145.69999999999999</v>
      </c>
      <c r="AG236" s="20">
        <f t="shared" si="12"/>
        <v>141.11538461538464</v>
      </c>
      <c r="AH236" s="2">
        <v>165.1</v>
      </c>
      <c r="AI236" s="20">
        <f t="shared" si="13"/>
        <v>149.4</v>
      </c>
      <c r="AJ236" s="20">
        <f t="shared" si="14"/>
        <v>149.83333333333334</v>
      </c>
      <c r="AK236" s="20">
        <f t="shared" si="15"/>
        <v>145.91666666666666</v>
      </c>
    </row>
    <row r="237" spans="1:37" ht="15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142.1</v>
      </c>
      <c r="F237" s="2">
        <v>158.30000000000001</v>
      </c>
      <c r="G237" s="2">
        <v>140.80000000000001</v>
      </c>
      <c r="H237" s="2">
        <v>144.9</v>
      </c>
      <c r="I237" s="2">
        <v>119.9</v>
      </c>
      <c r="J237" s="2">
        <v>153.9</v>
      </c>
      <c r="K237" s="2">
        <v>189.1</v>
      </c>
      <c r="L237" s="2">
        <v>129.80000000000001</v>
      </c>
      <c r="M237" s="2">
        <v>112.7</v>
      </c>
      <c r="N237" s="2">
        <v>142.5</v>
      </c>
      <c r="O237" s="2">
        <v>129.80000000000001</v>
      </c>
      <c r="P237" s="2">
        <v>156.19999999999999</v>
      </c>
      <c r="Q237" s="2">
        <v>149.1</v>
      </c>
      <c r="R237" s="2">
        <v>167.9</v>
      </c>
      <c r="S237" s="2">
        <v>145</v>
      </c>
      <c r="T237" s="2">
        <v>132.19999999999999</v>
      </c>
      <c r="U237" s="2">
        <v>143</v>
      </c>
      <c r="V237" s="2">
        <v>166.8</v>
      </c>
      <c r="W237" s="2">
        <v>125.5</v>
      </c>
      <c r="X237" s="2">
        <v>138.1</v>
      </c>
      <c r="Y237" s="2">
        <v>141.5</v>
      </c>
      <c r="Z237" s="2">
        <v>120.8</v>
      </c>
      <c r="AA237" s="2">
        <v>135.4</v>
      </c>
      <c r="AB237" s="2">
        <v>151.5</v>
      </c>
      <c r="AC237" s="2">
        <v>137.80000000000001</v>
      </c>
      <c r="AD237" s="2">
        <v>135.30000000000001</v>
      </c>
      <c r="AE237" s="2">
        <v>144.19999999999999</v>
      </c>
      <c r="AG237" s="20">
        <f t="shared" si="12"/>
        <v>143.77692307692308</v>
      </c>
      <c r="AH237" s="2">
        <v>167.9</v>
      </c>
      <c r="AI237" s="20">
        <f t="shared" si="13"/>
        <v>143.46666666666667</v>
      </c>
      <c r="AJ237" s="20">
        <f t="shared" si="14"/>
        <v>140.06666666666666</v>
      </c>
      <c r="AK237" s="20">
        <f t="shared" si="15"/>
        <v>137.04999999999998</v>
      </c>
    </row>
    <row r="238" spans="1:37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140.1</v>
      </c>
      <c r="F238" s="2">
        <v>160.6</v>
      </c>
      <c r="G238" s="2">
        <v>138.5</v>
      </c>
      <c r="H238" s="2">
        <v>144.69999999999999</v>
      </c>
      <c r="I238" s="2">
        <v>122.9</v>
      </c>
      <c r="J238" s="2">
        <v>149.4</v>
      </c>
      <c r="K238" s="2">
        <v>167.4</v>
      </c>
      <c r="L238" s="2">
        <v>130.9</v>
      </c>
      <c r="M238" s="2">
        <v>112</v>
      </c>
      <c r="N238" s="2">
        <v>142.6</v>
      </c>
      <c r="O238" s="2">
        <v>134.9</v>
      </c>
      <c r="P238" s="2">
        <v>156.6</v>
      </c>
      <c r="Q238" s="2">
        <v>145.9</v>
      </c>
      <c r="R238" s="2">
        <v>165.8</v>
      </c>
      <c r="S238" s="2">
        <v>149.1</v>
      </c>
      <c r="T238" s="2">
        <v>140.6</v>
      </c>
      <c r="U238" s="2">
        <v>147.9</v>
      </c>
      <c r="V238" s="2">
        <v>167.8</v>
      </c>
      <c r="W238" s="2">
        <v>138.5</v>
      </c>
      <c r="X238" s="2">
        <v>144.5</v>
      </c>
      <c r="Y238" s="2">
        <v>148.5</v>
      </c>
      <c r="Z238" s="2">
        <v>125.8</v>
      </c>
      <c r="AA238" s="2">
        <v>140.9</v>
      </c>
      <c r="AB238" s="2">
        <v>154.9</v>
      </c>
      <c r="AC238" s="2">
        <v>138.4</v>
      </c>
      <c r="AD238" s="2">
        <v>140.19999999999999</v>
      </c>
      <c r="AE238" s="2">
        <v>145</v>
      </c>
      <c r="AG238" s="20">
        <f t="shared" si="12"/>
        <v>142.03846153846155</v>
      </c>
      <c r="AH238" s="2">
        <v>165.8</v>
      </c>
      <c r="AI238" s="20">
        <f t="shared" si="13"/>
        <v>150.26666666666668</v>
      </c>
      <c r="AJ238" s="20">
        <f t="shared" si="14"/>
        <v>145.86666666666667</v>
      </c>
      <c r="AK238" s="20">
        <f t="shared" si="15"/>
        <v>141.45000000000002</v>
      </c>
    </row>
    <row r="239" spans="1:37" ht="26.5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140.1</v>
      </c>
      <c r="F239" s="2">
        <v>161.9</v>
      </c>
      <c r="G239" s="2">
        <v>138.30000000000001</v>
      </c>
      <c r="H239" s="2">
        <v>145.69999999999999</v>
      </c>
      <c r="I239" s="2">
        <v>125.1</v>
      </c>
      <c r="J239" s="2">
        <v>143.80000000000001</v>
      </c>
      <c r="K239" s="2">
        <v>163.4</v>
      </c>
      <c r="L239" s="2">
        <v>132.19999999999999</v>
      </c>
      <c r="M239" s="2">
        <v>112.8</v>
      </c>
      <c r="N239" s="2">
        <v>144.19999999999999</v>
      </c>
      <c r="O239" s="2">
        <v>138.5</v>
      </c>
      <c r="P239" s="2">
        <v>157.19999999999999</v>
      </c>
      <c r="Q239" s="2">
        <v>145.5</v>
      </c>
      <c r="R239" s="2">
        <v>165.7</v>
      </c>
      <c r="S239" s="2">
        <v>151.69999999999999</v>
      </c>
      <c r="T239" s="2">
        <v>146.6</v>
      </c>
      <c r="U239" s="2">
        <v>151</v>
      </c>
      <c r="V239" s="2">
        <f>VLOOKUP($A239,'Impute housing Missing Value'!$A$1:$C$125,3,0)</f>
        <v>152.19999999999999</v>
      </c>
      <c r="W239" s="2">
        <v>146.9</v>
      </c>
      <c r="X239" s="2">
        <v>150.30000000000001</v>
      </c>
      <c r="Y239" s="2">
        <v>153.4</v>
      </c>
      <c r="Z239" s="2">
        <v>131.6</v>
      </c>
      <c r="AA239" s="2">
        <v>148.30000000000001</v>
      </c>
      <c r="AB239" s="2">
        <v>160.19999999999999</v>
      </c>
      <c r="AC239" s="2">
        <v>140.19999999999999</v>
      </c>
      <c r="AD239" s="2">
        <v>145.4</v>
      </c>
      <c r="AE239" s="2">
        <v>146.69999999999999</v>
      </c>
      <c r="AG239" s="20">
        <f t="shared" si="12"/>
        <v>142.2076923076923</v>
      </c>
      <c r="AH239" s="2">
        <v>165.7</v>
      </c>
      <c r="AI239" s="20">
        <f t="shared" si="13"/>
        <v>149.80000000000001</v>
      </c>
      <c r="AJ239" s="20">
        <f t="shared" si="14"/>
        <v>149.76666666666665</v>
      </c>
      <c r="AK239" s="20">
        <f t="shared" si="15"/>
        <v>146.51666666666668</v>
      </c>
    </row>
    <row r="240" spans="1:37" ht="26.5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142.69999999999999</v>
      </c>
      <c r="F240" s="2">
        <v>158.69999999999999</v>
      </c>
      <c r="G240" s="2">
        <v>141.6</v>
      </c>
      <c r="H240" s="2">
        <v>144.9</v>
      </c>
      <c r="I240" s="2">
        <v>120.8</v>
      </c>
      <c r="J240" s="2">
        <v>149.80000000000001</v>
      </c>
      <c r="K240" s="2">
        <v>192.4</v>
      </c>
      <c r="L240" s="2">
        <v>130.30000000000001</v>
      </c>
      <c r="M240" s="2">
        <v>114</v>
      </c>
      <c r="N240" s="2">
        <v>143.80000000000001</v>
      </c>
      <c r="O240" s="2">
        <v>130</v>
      </c>
      <c r="P240" s="2">
        <v>156.4</v>
      </c>
      <c r="Q240" s="2">
        <v>149.5</v>
      </c>
      <c r="R240" s="2">
        <v>168.6</v>
      </c>
      <c r="S240" s="2">
        <v>145.30000000000001</v>
      </c>
      <c r="T240" s="2">
        <v>132.19999999999999</v>
      </c>
      <c r="U240" s="2">
        <v>143.30000000000001</v>
      </c>
      <c r="V240" s="2">
        <v>169.5</v>
      </c>
      <c r="W240" s="2">
        <v>126.6</v>
      </c>
      <c r="X240" s="2">
        <v>138.30000000000001</v>
      </c>
      <c r="Y240" s="2">
        <v>141.9</v>
      </c>
      <c r="Z240" s="2">
        <v>121.2</v>
      </c>
      <c r="AA240" s="2">
        <v>135.9</v>
      </c>
      <c r="AB240" s="2">
        <v>151.6</v>
      </c>
      <c r="AC240" s="2">
        <v>139</v>
      </c>
      <c r="AD240" s="2">
        <v>135.69999999999999</v>
      </c>
      <c r="AE240" s="2">
        <v>144.69999999999999</v>
      </c>
      <c r="AG240" s="20">
        <f t="shared" si="12"/>
        <v>144.22307692307692</v>
      </c>
      <c r="AH240" s="2">
        <v>168.6</v>
      </c>
      <c r="AI240" s="20">
        <f t="shared" si="13"/>
        <v>144.80000000000001</v>
      </c>
      <c r="AJ240" s="20">
        <f t="shared" si="14"/>
        <v>140.26666666666668</v>
      </c>
      <c r="AK240" s="20">
        <f t="shared" si="15"/>
        <v>137.54999999999998</v>
      </c>
    </row>
    <row r="241" spans="1:37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140.9</v>
      </c>
      <c r="F241" s="2">
        <v>160.80000000000001</v>
      </c>
      <c r="G241" s="2">
        <v>139.6</v>
      </c>
      <c r="H241" s="2">
        <v>145.4</v>
      </c>
      <c r="I241" s="2">
        <v>123.5</v>
      </c>
      <c r="J241" s="2">
        <v>146.6</v>
      </c>
      <c r="K241" s="2">
        <v>173.2</v>
      </c>
      <c r="L241" s="2">
        <v>131.6</v>
      </c>
      <c r="M241" s="2">
        <v>113.2</v>
      </c>
      <c r="N241" s="2">
        <v>144.1</v>
      </c>
      <c r="O241" s="2">
        <v>135</v>
      </c>
      <c r="P241" s="2">
        <v>156.80000000000001</v>
      </c>
      <c r="Q241" s="2">
        <v>147</v>
      </c>
      <c r="R241" s="2">
        <v>166.5</v>
      </c>
      <c r="S241" s="2">
        <v>149.19999999999999</v>
      </c>
      <c r="T241" s="2">
        <v>140.6</v>
      </c>
      <c r="U241" s="2">
        <v>147.9</v>
      </c>
      <c r="V241" s="2">
        <v>171.2</v>
      </c>
      <c r="W241" s="2">
        <v>139.19999999999999</v>
      </c>
      <c r="X241" s="2">
        <v>144.6</v>
      </c>
      <c r="Y241" s="2">
        <v>149</v>
      </c>
      <c r="Z241" s="2">
        <v>126.1</v>
      </c>
      <c r="AA241" s="2">
        <v>141.30000000000001</v>
      </c>
      <c r="AB241" s="2">
        <v>155.19999999999999</v>
      </c>
      <c r="AC241" s="2">
        <v>139.69999999999999</v>
      </c>
      <c r="AD241" s="2">
        <v>140.69999999999999</v>
      </c>
      <c r="AE241" s="2">
        <v>145.80000000000001</v>
      </c>
      <c r="AG241" s="20">
        <f t="shared" si="12"/>
        <v>142.89999999999998</v>
      </c>
      <c r="AH241" s="2">
        <v>166.5</v>
      </c>
      <c r="AI241" s="20">
        <f t="shared" si="13"/>
        <v>151.66666666666666</v>
      </c>
      <c r="AJ241" s="20">
        <f t="shared" si="14"/>
        <v>145.89999999999998</v>
      </c>
      <c r="AK241" s="20">
        <f t="shared" si="15"/>
        <v>142</v>
      </c>
    </row>
    <row r="242" spans="1:37" ht="15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141</v>
      </c>
      <c r="F242" s="2">
        <v>161.6</v>
      </c>
      <c r="G242" s="2">
        <v>141.19999999999999</v>
      </c>
      <c r="H242" s="2">
        <v>146.5</v>
      </c>
      <c r="I242" s="2">
        <v>125.6</v>
      </c>
      <c r="J242" s="2">
        <v>145.69999999999999</v>
      </c>
      <c r="K242" s="2">
        <v>178.8</v>
      </c>
      <c r="L242" s="2">
        <v>133.1</v>
      </c>
      <c r="M242" s="2">
        <v>113.6</v>
      </c>
      <c r="N242" s="2">
        <v>145.5</v>
      </c>
      <c r="O242" s="2">
        <v>138.6</v>
      </c>
      <c r="P242" s="2">
        <v>157.4</v>
      </c>
      <c r="Q242" s="2">
        <v>148.30000000000001</v>
      </c>
      <c r="R242" s="2">
        <v>166.3</v>
      </c>
      <c r="S242" s="2">
        <v>151.69999999999999</v>
      </c>
      <c r="T242" s="2">
        <v>146.69999999999999</v>
      </c>
      <c r="U242" s="2">
        <v>151</v>
      </c>
      <c r="V242" s="2">
        <f>VLOOKUP($A242,'Impute housing Missing Value'!$A$1:$C$125,3,0)</f>
        <v>153</v>
      </c>
      <c r="W242" s="2">
        <v>147.69999999999999</v>
      </c>
      <c r="X242" s="2">
        <v>150.6</v>
      </c>
      <c r="Y242" s="2">
        <v>153.69999999999999</v>
      </c>
      <c r="Z242" s="2">
        <v>131.69999999999999</v>
      </c>
      <c r="AA242" s="2">
        <v>148.69999999999999</v>
      </c>
      <c r="AB242" s="2">
        <v>160.69999999999999</v>
      </c>
      <c r="AC242" s="2">
        <v>140.30000000000001</v>
      </c>
      <c r="AD242" s="2">
        <v>145.69999999999999</v>
      </c>
      <c r="AE242" s="2">
        <v>148.30000000000001</v>
      </c>
      <c r="AG242" s="20">
        <f t="shared" si="12"/>
        <v>144.37692307692305</v>
      </c>
      <c r="AH242" s="2">
        <v>166.3</v>
      </c>
      <c r="AI242" s="20">
        <f t="shared" si="13"/>
        <v>150.43333333333331</v>
      </c>
      <c r="AJ242" s="20">
        <f t="shared" si="14"/>
        <v>149.79999999999998</v>
      </c>
      <c r="AK242" s="20">
        <f t="shared" si="15"/>
        <v>146.79999999999998</v>
      </c>
    </row>
    <row r="243" spans="1:37" ht="15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143.5</v>
      </c>
      <c r="F243" s="2">
        <v>159.80000000000001</v>
      </c>
      <c r="G243" s="2">
        <v>144.69999999999999</v>
      </c>
      <c r="H243" s="2">
        <v>145.6</v>
      </c>
      <c r="I243" s="2">
        <v>121.1</v>
      </c>
      <c r="J243" s="2">
        <v>150.6</v>
      </c>
      <c r="K243" s="2">
        <v>207.2</v>
      </c>
      <c r="L243" s="2">
        <v>131.19999999999999</v>
      </c>
      <c r="M243" s="2">
        <v>114.8</v>
      </c>
      <c r="N243" s="2">
        <v>145.19999999999999</v>
      </c>
      <c r="O243" s="2">
        <v>130.19999999999999</v>
      </c>
      <c r="P243" s="2">
        <v>156.80000000000001</v>
      </c>
      <c r="Q243" s="2">
        <v>151.9</v>
      </c>
      <c r="R243" s="2">
        <v>169.3</v>
      </c>
      <c r="S243" s="2">
        <v>145.9</v>
      </c>
      <c r="T243" s="2">
        <v>132.4</v>
      </c>
      <c r="U243" s="2">
        <v>143.9</v>
      </c>
      <c r="V243" s="2">
        <v>170.7</v>
      </c>
      <c r="W243" s="2">
        <v>128.9</v>
      </c>
      <c r="X243" s="2">
        <v>138.69999999999999</v>
      </c>
      <c r="Y243" s="2">
        <v>142.4</v>
      </c>
      <c r="Z243" s="2">
        <v>121.5</v>
      </c>
      <c r="AA243" s="2">
        <v>136.19999999999999</v>
      </c>
      <c r="AB243" s="2">
        <v>151.69999999999999</v>
      </c>
      <c r="AC243" s="2">
        <v>139.5</v>
      </c>
      <c r="AD243" s="2">
        <v>136</v>
      </c>
      <c r="AE243" s="2">
        <v>146</v>
      </c>
      <c r="AG243" s="20">
        <f t="shared" si="12"/>
        <v>146.35384615384618</v>
      </c>
      <c r="AH243" s="2">
        <v>169.3</v>
      </c>
      <c r="AI243" s="20">
        <f t="shared" si="13"/>
        <v>146.1</v>
      </c>
      <c r="AJ243" s="20">
        <f t="shared" si="14"/>
        <v>140.73333333333335</v>
      </c>
      <c r="AK243" s="20">
        <f t="shared" si="15"/>
        <v>137.88333333333333</v>
      </c>
    </row>
    <row r="244" spans="1:37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141.80000000000001</v>
      </c>
      <c r="F244" s="2">
        <v>161</v>
      </c>
      <c r="G244" s="2">
        <v>142.6</v>
      </c>
      <c r="H244" s="2">
        <v>146.19999999999999</v>
      </c>
      <c r="I244" s="2">
        <v>123.9</v>
      </c>
      <c r="J244" s="2">
        <v>148</v>
      </c>
      <c r="K244" s="2">
        <v>188.4</v>
      </c>
      <c r="L244" s="2">
        <v>132.5</v>
      </c>
      <c r="M244" s="2">
        <v>114</v>
      </c>
      <c r="N244" s="2">
        <v>145.4</v>
      </c>
      <c r="O244" s="2">
        <v>135.1</v>
      </c>
      <c r="P244" s="2">
        <v>157.1</v>
      </c>
      <c r="Q244" s="2">
        <v>149.6</v>
      </c>
      <c r="R244" s="2">
        <v>167.1</v>
      </c>
      <c r="S244" s="2">
        <v>149.4</v>
      </c>
      <c r="T244" s="2">
        <v>140.80000000000001</v>
      </c>
      <c r="U244" s="2">
        <v>148.19999999999999</v>
      </c>
      <c r="V244" s="2">
        <v>172.1</v>
      </c>
      <c r="W244" s="2">
        <v>140.6</v>
      </c>
      <c r="X244" s="2">
        <v>145</v>
      </c>
      <c r="Y244" s="2">
        <v>149.4</v>
      </c>
      <c r="Z244" s="2">
        <v>126.3</v>
      </c>
      <c r="AA244" s="2">
        <v>141.69999999999999</v>
      </c>
      <c r="AB244" s="2">
        <v>155.4</v>
      </c>
      <c r="AC244" s="2">
        <v>140</v>
      </c>
      <c r="AD244" s="2">
        <v>141</v>
      </c>
      <c r="AE244" s="2">
        <v>147.19999999999999</v>
      </c>
      <c r="AG244" s="20">
        <f t="shared" si="12"/>
        <v>145.04615384615383</v>
      </c>
      <c r="AH244" s="2">
        <v>167.1</v>
      </c>
      <c r="AI244" s="20">
        <f t="shared" si="13"/>
        <v>152.56666666666666</v>
      </c>
      <c r="AJ244" s="20">
        <f t="shared" si="14"/>
        <v>146.13333333333335</v>
      </c>
      <c r="AK244" s="20">
        <f t="shared" si="15"/>
        <v>142.29999999999998</v>
      </c>
    </row>
    <row r="245" spans="1:37" ht="26.5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141.80000000000001</v>
      </c>
      <c r="F245" s="2">
        <v>163.69999999999999</v>
      </c>
      <c r="G245" s="2">
        <v>143.80000000000001</v>
      </c>
      <c r="H245" s="2">
        <v>147.1</v>
      </c>
      <c r="I245" s="2">
        <v>126</v>
      </c>
      <c r="J245" s="2">
        <v>146.19999999999999</v>
      </c>
      <c r="K245" s="2">
        <v>191.4</v>
      </c>
      <c r="L245" s="2">
        <v>136.19999999999999</v>
      </c>
      <c r="M245" s="2">
        <v>113.8</v>
      </c>
      <c r="N245" s="2">
        <v>147.30000000000001</v>
      </c>
      <c r="O245" s="2">
        <v>138.69999999999999</v>
      </c>
      <c r="P245" s="2">
        <v>157.69999999999999</v>
      </c>
      <c r="Q245" s="2">
        <v>150.9</v>
      </c>
      <c r="R245" s="2">
        <v>167.2</v>
      </c>
      <c r="S245" s="2">
        <v>152.30000000000001</v>
      </c>
      <c r="T245" s="2">
        <v>147</v>
      </c>
      <c r="U245" s="2">
        <v>151.5</v>
      </c>
      <c r="V245" s="2">
        <f>VLOOKUP($A245,'Impute housing Missing Value'!$A$1:$C$125,3,0)</f>
        <v>153.5</v>
      </c>
      <c r="W245" s="2">
        <v>148.4</v>
      </c>
      <c r="X245" s="2">
        <v>150.9</v>
      </c>
      <c r="Y245" s="2">
        <v>154.30000000000001</v>
      </c>
      <c r="Z245" s="2">
        <v>132.1</v>
      </c>
      <c r="AA245" s="2">
        <v>149.1</v>
      </c>
      <c r="AB245" s="2">
        <v>160.80000000000001</v>
      </c>
      <c r="AC245" s="2">
        <v>140.6</v>
      </c>
      <c r="AD245" s="2">
        <v>146.1</v>
      </c>
      <c r="AE245" s="2">
        <v>149.9</v>
      </c>
      <c r="AG245" s="20">
        <f t="shared" si="12"/>
        <v>146.50769230769231</v>
      </c>
      <c r="AH245" s="2">
        <v>167.2</v>
      </c>
      <c r="AI245" s="20">
        <f t="shared" si="13"/>
        <v>150.93333333333331</v>
      </c>
      <c r="AJ245" s="20">
        <f t="shared" si="14"/>
        <v>150.26666666666668</v>
      </c>
      <c r="AK245" s="20">
        <f t="shared" si="15"/>
        <v>147.16666666666666</v>
      </c>
    </row>
    <row r="246" spans="1:37" ht="26.5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144.1</v>
      </c>
      <c r="F246" s="2">
        <v>162.4</v>
      </c>
      <c r="G246" s="2">
        <v>148.4</v>
      </c>
      <c r="H246" s="2">
        <v>145.9</v>
      </c>
      <c r="I246" s="2">
        <v>121.5</v>
      </c>
      <c r="J246" s="2">
        <v>148.80000000000001</v>
      </c>
      <c r="K246" s="2">
        <v>215.7</v>
      </c>
      <c r="L246" s="2">
        <v>134.6</v>
      </c>
      <c r="M246" s="2">
        <v>115</v>
      </c>
      <c r="N246" s="2">
        <v>146.30000000000001</v>
      </c>
      <c r="O246" s="2">
        <v>130.5</v>
      </c>
      <c r="P246" s="2">
        <v>157.19999999999999</v>
      </c>
      <c r="Q246" s="2">
        <v>153.6</v>
      </c>
      <c r="R246" s="2">
        <v>169.9</v>
      </c>
      <c r="S246" s="2">
        <v>146.30000000000001</v>
      </c>
      <c r="T246" s="2">
        <v>132.6</v>
      </c>
      <c r="U246" s="2">
        <v>144.19999999999999</v>
      </c>
      <c r="V246" s="2">
        <v>173.5</v>
      </c>
      <c r="W246" s="2">
        <v>132.19999999999999</v>
      </c>
      <c r="X246" s="2">
        <v>139.1</v>
      </c>
      <c r="Y246" s="2">
        <v>142.80000000000001</v>
      </c>
      <c r="Z246" s="2">
        <v>121.7</v>
      </c>
      <c r="AA246" s="2">
        <v>136.69999999999999</v>
      </c>
      <c r="AB246" s="2">
        <v>151.80000000000001</v>
      </c>
      <c r="AC246" s="2">
        <v>139.80000000000001</v>
      </c>
      <c r="AD246" s="2">
        <v>136.30000000000001</v>
      </c>
      <c r="AE246" s="2">
        <v>147</v>
      </c>
      <c r="AG246" s="20">
        <f t="shared" si="12"/>
        <v>147.99999999999997</v>
      </c>
      <c r="AH246" s="2">
        <v>169.9</v>
      </c>
      <c r="AI246" s="20">
        <f t="shared" si="13"/>
        <v>148.26666666666665</v>
      </c>
      <c r="AJ246" s="20">
        <f t="shared" si="14"/>
        <v>141.03333333333333</v>
      </c>
      <c r="AK246" s="20">
        <f t="shared" si="15"/>
        <v>138.18333333333331</v>
      </c>
    </row>
    <row r="247" spans="1:37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142.5</v>
      </c>
      <c r="F247" s="2">
        <v>163.19999999999999</v>
      </c>
      <c r="G247" s="2">
        <v>145.6</v>
      </c>
      <c r="H247" s="2">
        <v>146.69999999999999</v>
      </c>
      <c r="I247" s="2">
        <v>124.3</v>
      </c>
      <c r="J247" s="2">
        <v>147.4</v>
      </c>
      <c r="K247" s="2">
        <v>199.6</v>
      </c>
      <c r="L247" s="2">
        <v>135.69999999999999</v>
      </c>
      <c r="M247" s="2">
        <v>114.2</v>
      </c>
      <c r="N247" s="2">
        <v>147</v>
      </c>
      <c r="O247" s="2">
        <v>135.30000000000001</v>
      </c>
      <c r="P247" s="2">
        <v>157.5</v>
      </c>
      <c r="Q247" s="2">
        <v>151.9</v>
      </c>
      <c r="R247" s="2">
        <v>167.9</v>
      </c>
      <c r="S247" s="2">
        <v>149.9</v>
      </c>
      <c r="T247" s="2">
        <v>141</v>
      </c>
      <c r="U247" s="2">
        <v>148.6</v>
      </c>
      <c r="V247" s="2">
        <v>175.2</v>
      </c>
      <c r="W247" s="2">
        <v>142.30000000000001</v>
      </c>
      <c r="X247" s="2">
        <v>145.30000000000001</v>
      </c>
      <c r="Y247" s="2">
        <v>149.9</v>
      </c>
      <c r="Z247" s="2">
        <v>126.6</v>
      </c>
      <c r="AA247" s="2">
        <v>142.1</v>
      </c>
      <c r="AB247" s="2">
        <v>155.5</v>
      </c>
      <c r="AC247" s="2">
        <v>140.30000000000001</v>
      </c>
      <c r="AD247" s="2">
        <v>141.30000000000001</v>
      </c>
      <c r="AE247" s="2">
        <v>148.6</v>
      </c>
      <c r="AG247" s="20">
        <f t="shared" si="12"/>
        <v>146.99230769230769</v>
      </c>
      <c r="AH247" s="2">
        <v>167.9</v>
      </c>
      <c r="AI247" s="20">
        <f t="shared" si="13"/>
        <v>154.26666666666668</v>
      </c>
      <c r="AJ247" s="20">
        <f t="shared" si="14"/>
        <v>146.5</v>
      </c>
      <c r="AK247" s="20">
        <f t="shared" si="15"/>
        <v>142.61666666666667</v>
      </c>
    </row>
    <row r="248" spans="1:37" ht="26.5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142.80000000000001</v>
      </c>
      <c r="F248" s="2">
        <v>165.3</v>
      </c>
      <c r="G248" s="2">
        <v>149.5</v>
      </c>
      <c r="H248" s="2">
        <v>148.69999999999999</v>
      </c>
      <c r="I248" s="2">
        <v>127.5</v>
      </c>
      <c r="J248" s="2">
        <v>144.30000000000001</v>
      </c>
      <c r="K248" s="2">
        <v>209.5</v>
      </c>
      <c r="L248" s="2">
        <v>138.80000000000001</v>
      </c>
      <c r="M248" s="2">
        <v>113.6</v>
      </c>
      <c r="N248" s="2">
        <v>149.1</v>
      </c>
      <c r="O248" s="2">
        <v>139.30000000000001</v>
      </c>
      <c r="P248" s="2">
        <v>158.30000000000001</v>
      </c>
      <c r="Q248" s="2">
        <v>154.30000000000001</v>
      </c>
      <c r="R248" s="2">
        <v>167.8</v>
      </c>
      <c r="S248" s="2">
        <v>152.6</v>
      </c>
      <c r="T248" s="2">
        <v>147.30000000000001</v>
      </c>
      <c r="U248" s="2">
        <v>151.9</v>
      </c>
      <c r="V248" s="2">
        <f>VLOOKUP($A248,'Impute housing Missing Value'!$A$1:$C$125,3,0)</f>
        <v>152.80000000000001</v>
      </c>
      <c r="W248" s="2">
        <v>149.9</v>
      </c>
      <c r="X248" s="2">
        <v>151.19999999999999</v>
      </c>
      <c r="Y248" s="2">
        <v>154.80000000000001</v>
      </c>
      <c r="Z248" s="2">
        <v>135</v>
      </c>
      <c r="AA248" s="2">
        <v>149.5</v>
      </c>
      <c r="AB248" s="2">
        <v>161.1</v>
      </c>
      <c r="AC248" s="2">
        <v>140.6</v>
      </c>
      <c r="AD248" s="2">
        <v>147.1</v>
      </c>
      <c r="AE248" s="2">
        <v>152.30000000000001</v>
      </c>
      <c r="AG248" s="20">
        <f t="shared" si="12"/>
        <v>149.30769230769226</v>
      </c>
      <c r="AH248" s="2">
        <v>167.8</v>
      </c>
      <c r="AI248" s="20">
        <f t="shared" si="13"/>
        <v>151.30000000000001</v>
      </c>
      <c r="AJ248" s="20">
        <f t="shared" si="14"/>
        <v>150.6</v>
      </c>
      <c r="AK248" s="20">
        <f t="shared" si="15"/>
        <v>148.01666666666668</v>
      </c>
    </row>
    <row r="249" spans="1:37" ht="26.5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144.9</v>
      </c>
      <c r="F249" s="2">
        <v>164.5</v>
      </c>
      <c r="G249" s="2">
        <v>153.69999999999999</v>
      </c>
      <c r="H249" s="2">
        <v>147.5</v>
      </c>
      <c r="I249" s="2">
        <v>122.7</v>
      </c>
      <c r="J249" s="2">
        <v>147.19999999999999</v>
      </c>
      <c r="K249" s="2">
        <v>231.5</v>
      </c>
      <c r="L249" s="2">
        <v>137.19999999999999</v>
      </c>
      <c r="M249" s="2">
        <v>114.7</v>
      </c>
      <c r="N249" s="2">
        <v>148</v>
      </c>
      <c r="O249" s="2">
        <v>130.80000000000001</v>
      </c>
      <c r="P249" s="2">
        <v>157.69999999999999</v>
      </c>
      <c r="Q249" s="2">
        <v>156.30000000000001</v>
      </c>
      <c r="R249" s="2">
        <v>170.4</v>
      </c>
      <c r="S249" s="2">
        <v>146.80000000000001</v>
      </c>
      <c r="T249" s="2">
        <v>132.80000000000001</v>
      </c>
      <c r="U249" s="2">
        <v>144.6</v>
      </c>
      <c r="V249" s="2">
        <v>152.80000000000001</v>
      </c>
      <c r="W249" s="2">
        <v>133.6</v>
      </c>
      <c r="X249" s="2">
        <v>139.80000000000001</v>
      </c>
      <c r="Y249" s="2">
        <v>143.19999999999999</v>
      </c>
      <c r="Z249" s="2">
        <v>125.2</v>
      </c>
      <c r="AA249" s="2">
        <v>136.80000000000001</v>
      </c>
      <c r="AB249" s="2">
        <v>151.9</v>
      </c>
      <c r="AC249" s="2">
        <v>140.19999999999999</v>
      </c>
      <c r="AD249" s="2">
        <v>137.69999999999999</v>
      </c>
      <c r="AE249" s="2">
        <v>148.30000000000001</v>
      </c>
      <c r="AG249" s="20">
        <f t="shared" si="12"/>
        <v>150.51538461538462</v>
      </c>
      <c r="AH249" s="2">
        <v>170.4</v>
      </c>
      <c r="AI249" s="20">
        <f t="shared" si="13"/>
        <v>142.06666666666666</v>
      </c>
      <c r="AJ249" s="20">
        <f t="shared" si="14"/>
        <v>141.4</v>
      </c>
      <c r="AK249" s="20">
        <f t="shared" si="15"/>
        <v>139.16666666666666</v>
      </c>
    </row>
    <row r="250" spans="1:37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143.5</v>
      </c>
      <c r="F250" s="2">
        <v>165</v>
      </c>
      <c r="G250" s="2">
        <v>151.1</v>
      </c>
      <c r="H250" s="2">
        <v>148.30000000000001</v>
      </c>
      <c r="I250" s="2">
        <v>125.7</v>
      </c>
      <c r="J250" s="2">
        <v>145.69999999999999</v>
      </c>
      <c r="K250" s="2">
        <v>217</v>
      </c>
      <c r="L250" s="2">
        <v>138.30000000000001</v>
      </c>
      <c r="M250" s="2">
        <v>114</v>
      </c>
      <c r="N250" s="2">
        <v>148.69999999999999</v>
      </c>
      <c r="O250" s="2">
        <v>135.80000000000001</v>
      </c>
      <c r="P250" s="2">
        <v>158</v>
      </c>
      <c r="Q250" s="2">
        <v>155</v>
      </c>
      <c r="R250" s="2">
        <v>168.5</v>
      </c>
      <c r="S250" s="2">
        <v>150.30000000000001</v>
      </c>
      <c r="T250" s="2">
        <v>141.30000000000001</v>
      </c>
      <c r="U250" s="2">
        <v>149</v>
      </c>
      <c r="V250" s="2">
        <v>152.80000000000001</v>
      </c>
      <c r="W250" s="2">
        <v>143.69999999999999</v>
      </c>
      <c r="X250" s="2">
        <v>145.80000000000001</v>
      </c>
      <c r="Y250" s="2">
        <v>150.4</v>
      </c>
      <c r="Z250" s="2">
        <v>129.80000000000001</v>
      </c>
      <c r="AA250" s="2">
        <v>142.30000000000001</v>
      </c>
      <c r="AB250" s="2">
        <v>155.69999999999999</v>
      </c>
      <c r="AC250" s="2">
        <v>140.4</v>
      </c>
      <c r="AD250" s="2">
        <v>142.5</v>
      </c>
      <c r="AE250" s="2">
        <v>150.4</v>
      </c>
      <c r="AG250" s="20">
        <f t="shared" si="12"/>
        <v>149.70000000000002</v>
      </c>
      <c r="AH250" s="2">
        <v>168.5</v>
      </c>
      <c r="AI250" s="20">
        <f t="shared" si="13"/>
        <v>147.43333333333334</v>
      </c>
      <c r="AJ250" s="20">
        <f t="shared" si="14"/>
        <v>146.86666666666667</v>
      </c>
      <c r="AK250" s="20">
        <f t="shared" si="15"/>
        <v>143.51666666666668</v>
      </c>
    </row>
    <row r="251" spans="1:37" ht="15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143.69999999999999</v>
      </c>
      <c r="F251" s="2">
        <v>167.3</v>
      </c>
      <c r="G251" s="2">
        <v>153.5</v>
      </c>
      <c r="H251" s="2">
        <v>150.5</v>
      </c>
      <c r="I251" s="2">
        <v>132</v>
      </c>
      <c r="J251" s="2">
        <v>142.19999999999999</v>
      </c>
      <c r="K251" s="2">
        <v>191.5</v>
      </c>
      <c r="L251" s="2">
        <v>141.1</v>
      </c>
      <c r="M251" s="2">
        <v>113.8</v>
      </c>
      <c r="N251" s="2">
        <v>151.6</v>
      </c>
      <c r="O251" s="2">
        <v>139.69999999999999</v>
      </c>
      <c r="P251" s="2">
        <v>158.69999999999999</v>
      </c>
      <c r="Q251" s="2">
        <v>153</v>
      </c>
      <c r="R251" s="2">
        <v>168.6</v>
      </c>
      <c r="S251" s="2">
        <v>152.80000000000001</v>
      </c>
      <c r="T251" s="2">
        <v>147.4</v>
      </c>
      <c r="U251" s="2">
        <v>152.1</v>
      </c>
      <c r="V251" s="2">
        <f>VLOOKUP($A251,'Impute housing Missing Value'!$A$1:$C$125,3,0)</f>
        <v>153.9</v>
      </c>
      <c r="W251" s="2">
        <v>150.4</v>
      </c>
      <c r="X251" s="2">
        <v>151.69999999999999</v>
      </c>
      <c r="Y251" s="2">
        <v>155.69999999999999</v>
      </c>
      <c r="Z251" s="2">
        <v>136.30000000000001</v>
      </c>
      <c r="AA251" s="2">
        <v>150.1</v>
      </c>
      <c r="AB251" s="2">
        <v>161.69999999999999</v>
      </c>
      <c r="AC251" s="2">
        <v>142.5</v>
      </c>
      <c r="AD251" s="2">
        <v>148.1</v>
      </c>
      <c r="AE251" s="2">
        <v>151.9</v>
      </c>
      <c r="AG251" s="20">
        <f t="shared" si="12"/>
        <v>149.12307692307692</v>
      </c>
      <c r="AH251" s="2">
        <v>168.6</v>
      </c>
      <c r="AI251" s="20">
        <f t="shared" si="13"/>
        <v>152</v>
      </c>
      <c r="AJ251" s="20">
        <f t="shared" si="14"/>
        <v>150.76666666666668</v>
      </c>
      <c r="AK251" s="20">
        <f t="shared" si="15"/>
        <v>149.06666666666666</v>
      </c>
    </row>
    <row r="252" spans="1:37" ht="15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145.6</v>
      </c>
      <c r="F252" s="2">
        <v>167.6</v>
      </c>
      <c r="G252" s="2">
        <v>157</v>
      </c>
      <c r="H252" s="2">
        <v>149.30000000000001</v>
      </c>
      <c r="I252" s="2">
        <v>126.3</v>
      </c>
      <c r="J252" s="2">
        <v>144.4</v>
      </c>
      <c r="K252" s="2">
        <v>207.8</v>
      </c>
      <c r="L252" s="2">
        <v>139.1</v>
      </c>
      <c r="M252" s="2">
        <v>114.8</v>
      </c>
      <c r="N252" s="2">
        <v>149.5</v>
      </c>
      <c r="O252" s="2">
        <v>131.1</v>
      </c>
      <c r="P252" s="2">
        <v>158.5</v>
      </c>
      <c r="Q252" s="2">
        <v>154.4</v>
      </c>
      <c r="R252" s="2">
        <v>170.8</v>
      </c>
      <c r="S252" s="2">
        <v>147</v>
      </c>
      <c r="T252" s="2">
        <v>133.19999999999999</v>
      </c>
      <c r="U252" s="2">
        <v>144.9</v>
      </c>
      <c r="V252" s="2">
        <v>153.9</v>
      </c>
      <c r="W252" s="2">
        <v>135.1</v>
      </c>
      <c r="X252" s="2">
        <v>140.1</v>
      </c>
      <c r="Y252" s="2">
        <v>143.80000000000001</v>
      </c>
      <c r="Z252" s="2">
        <v>126.1</v>
      </c>
      <c r="AA252" s="2">
        <v>137.19999999999999</v>
      </c>
      <c r="AB252" s="2">
        <v>152.1</v>
      </c>
      <c r="AC252" s="2">
        <v>142.1</v>
      </c>
      <c r="AD252" s="2">
        <v>138.4</v>
      </c>
      <c r="AE252" s="2">
        <v>148.19999999999999</v>
      </c>
      <c r="AG252" s="20">
        <f t="shared" si="12"/>
        <v>149.64615384615382</v>
      </c>
      <c r="AH252" s="2">
        <v>170.8</v>
      </c>
      <c r="AI252" s="20">
        <f t="shared" si="13"/>
        <v>143.03333333333333</v>
      </c>
      <c r="AJ252" s="20">
        <f t="shared" si="14"/>
        <v>141.70000000000002</v>
      </c>
      <c r="AK252" s="20">
        <f t="shared" si="15"/>
        <v>139.94999999999999</v>
      </c>
    </row>
    <row r="253" spans="1:37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144.30000000000001</v>
      </c>
      <c r="F253" s="2">
        <v>167.4</v>
      </c>
      <c r="G253" s="2">
        <v>154.9</v>
      </c>
      <c r="H253" s="2">
        <v>150.1</v>
      </c>
      <c r="I253" s="2">
        <v>129.9</v>
      </c>
      <c r="J253" s="2">
        <v>143.19999999999999</v>
      </c>
      <c r="K253" s="2">
        <v>197</v>
      </c>
      <c r="L253" s="2">
        <v>140.4</v>
      </c>
      <c r="M253" s="2">
        <v>114.1</v>
      </c>
      <c r="N253" s="2">
        <v>150.9</v>
      </c>
      <c r="O253" s="2">
        <v>136.1</v>
      </c>
      <c r="P253" s="2">
        <v>158.6</v>
      </c>
      <c r="Q253" s="2">
        <v>153.5</v>
      </c>
      <c r="R253" s="2">
        <v>169.2</v>
      </c>
      <c r="S253" s="2">
        <v>150.5</v>
      </c>
      <c r="T253" s="2">
        <v>141.5</v>
      </c>
      <c r="U253" s="2">
        <v>149.19999999999999</v>
      </c>
      <c r="V253" s="2">
        <v>153.9</v>
      </c>
      <c r="W253" s="2">
        <v>144.6</v>
      </c>
      <c r="X253" s="2">
        <v>146.19999999999999</v>
      </c>
      <c r="Y253" s="2">
        <v>151.19999999999999</v>
      </c>
      <c r="Z253" s="2">
        <v>130.9</v>
      </c>
      <c r="AA253" s="2">
        <v>142.80000000000001</v>
      </c>
      <c r="AB253" s="2">
        <v>156.1</v>
      </c>
      <c r="AC253" s="2">
        <v>142.30000000000001</v>
      </c>
      <c r="AD253" s="2">
        <v>143.4</v>
      </c>
      <c r="AE253" s="2">
        <v>150.19999999999999</v>
      </c>
      <c r="AG253" s="20">
        <f t="shared" si="12"/>
        <v>149.26153846153846</v>
      </c>
      <c r="AH253" s="2">
        <v>169.2</v>
      </c>
      <c r="AI253" s="20">
        <f t="shared" si="13"/>
        <v>148.23333333333332</v>
      </c>
      <c r="AJ253" s="20">
        <f t="shared" si="14"/>
        <v>147.06666666666666</v>
      </c>
      <c r="AK253" s="20">
        <f t="shared" si="15"/>
        <v>144.44999999999999</v>
      </c>
    </row>
    <row r="254" spans="1:37" ht="15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144.19999999999999</v>
      </c>
      <c r="F254" s="2">
        <v>167.5</v>
      </c>
      <c r="G254" s="2">
        <v>150.9</v>
      </c>
      <c r="H254" s="2">
        <v>150.9</v>
      </c>
      <c r="I254" s="2">
        <v>133.69999999999999</v>
      </c>
      <c r="J254" s="2">
        <v>140.69999999999999</v>
      </c>
      <c r="K254" s="2">
        <v>165.1</v>
      </c>
      <c r="L254" s="2">
        <v>141.80000000000001</v>
      </c>
      <c r="M254" s="2">
        <v>113.1</v>
      </c>
      <c r="N254" s="2">
        <v>152.80000000000001</v>
      </c>
      <c r="O254" s="2">
        <v>140.1</v>
      </c>
      <c r="P254" s="2">
        <v>159.19999999999999</v>
      </c>
      <c r="Q254" s="2">
        <v>149.80000000000001</v>
      </c>
      <c r="R254" s="2">
        <v>169.4</v>
      </c>
      <c r="S254" s="2">
        <v>153</v>
      </c>
      <c r="T254" s="2">
        <v>147.5</v>
      </c>
      <c r="U254" s="2">
        <v>152.30000000000001</v>
      </c>
      <c r="V254" s="2">
        <f>VLOOKUP($A254,'Impute housing Missing Value'!$A$1:$C$125,3,0)</f>
        <v>154.80000000000001</v>
      </c>
      <c r="W254" s="2">
        <v>152.30000000000001</v>
      </c>
      <c r="X254" s="2">
        <v>151.80000000000001</v>
      </c>
      <c r="Y254" s="2">
        <v>156.19999999999999</v>
      </c>
      <c r="Z254" s="2">
        <v>136</v>
      </c>
      <c r="AA254" s="2">
        <v>150.4</v>
      </c>
      <c r="AB254" s="2">
        <v>161.9</v>
      </c>
      <c r="AC254" s="2">
        <v>143.4</v>
      </c>
      <c r="AD254" s="2">
        <v>148.4</v>
      </c>
      <c r="AE254" s="2">
        <v>150.4</v>
      </c>
      <c r="AG254" s="20">
        <f t="shared" si="12"/>
        <v>146.90769230769229</v>
      </c>
      <c r="AH254" s="2">
        <v>169.4</v>
      </c>
      <c r="AI254" s="20">
        <f t="shared" si="13"/>
        <v>152.96666666666667</v>
      </c>
      <c r="AJ254" s="20">
        <f t="shared" si="14"/>
        <v>150.93333333333334</v>
      </c>
      <c r="AK254" s="20">
        <f t="shared" si="15"/>
        <v>149.38333333333333</v>
      </c>
    </row>
    <row r="255" spans="1:37" ht="15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146.19999999999999</v>
      </c>
      <c r="F255" s="2">
        <v>167.6</v>
      </c>
      <c r="G255" s="2">
        <v>153.1</v>
      </c>
      <c r="H255" s="2">
        <v>150.69999999999999</v>
      </c>
      <c r="I255" s="2">
        <v>127.4</v>
      </c>
      <c r="J255" s="2">
        <v>143.1</v>
      </c>
      <c r="K255" s="2">
        <v>181.7</v>
      </c>
      <c r="L255" s="2">
        <v>139.6</v>
      </c>
      <c r="M255" s="2">
        <v>114.6</v>
      </c>
      <c r="N255" s="2">
        <v>150.4</v>
      </c>
      <c r="O255" s="2">
        <v>131.5</v>
      </c>
      <c r="P255" s="2">
        <v>159</v>
      </c>
      <c r="Q255" s="2">
        <v>151.69999999999999</v>
      </c>
      <c r="R255" s="2">
        <v>172</v>
      </c>
      <c r="S255" s="2">
        <v>147.30000000000001</v>
      </c>
      <c r="T255" s="2">
        <v>133.5</v>
      </c>
      <c r="U255" s="2">
        <v>145.19999999999999</v>
      </c>
      <c r="V255" s="2">
        <v>154.80000000000001</v>
      </c>
      <c r="W255" s="2">
        <v>138.9</v>
      </c>
      <c r="X255" s="2">
        <v>140.4</v>
      </c>
      <c r="Y255" s="2">
        <v>144.4</v>
      </c>
      <c r="Z255" s="2">
        <v>125.2</v>
      </c>
      <c r="AA255" s="2">
        <v>137.69999999999999</v>
      </c>
      <c r="AB255" s="2">
        <v>152.19999999999999</v>
      </c>
      <c r="AC255" s="2">
        <v>143.5</v>
      </c>
      <c r="AD255" s="2">
        <v>138.4</v>
      </c>
      <c r="AE255" s="2">
        <v>147.69999999999999</v>
      </c>
      <c r="AG255" s="20">
        <f t="shared" si="12"/>
        <v>147.43076923076922</v>
      </c>
      <c r="AH255" s="2">
        <v>172</v>
      </c>
      <c r="AI255" s="20">
        <f t="shared" si="13"/>
        <v>144.70000000000002</v>
      </c>
      <c r="AJ255" s="20">
        <f t="shared" si="14"/>
        <v>142</v>
      </c>
      <c r="AK255" s="20">
        <f t="shared" si="15"/>
        <v>140.23333333333332</v>
      </c>
    </row>
    <row r="256" spans="1:37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144.80000000000001</v>
      </c>
      <c r="F256" s="2">
        <v>167.5</v>
      </c>
      <c r="G256" s="2">
        <v>151.80000000000001</v>
      </c>
      <c r="H256" s="2">
        <v>150.80000000000001</v>
      </c>
      <c r="I256" s="2">
        <v>131.4</v>
      </c>
      <c r="J256" s="2">
        <v>141.80000000000001</v>
      </c>
      <c r="K256" s="2">
        <v>170.7</v>
      </c>
      <c r="L256" s="2">
        <v>141.1</v>
      </c>
      <c r="M256" s="2">
        <v>113.6</v>
      </c>
      <c r="N256" s="2">
        <v>152</v>
      </c>
      <c r="O256" s="2">
        <v>136.5</v>
      </c>
      <c r="P256" s="2">
        <v>159.1</v>
      </c>
      <c r="Q256" s="2">
        <v>150.5</v>
      </c>
      <c r="R256" s="2">
        <v>170.1</v>
      </c>
      <c r="S256" s="2">
        <v>150.80000000000001</v>
      </c>
      <c r="T256" s="2">
        <v>141.69999999999999</v>
      </c>
      <c r="U256" s="2">
        <v>149.5</v>
      </c>
      <c r="V256" s="2">
        <v>154.80000000000001</v>
      </c>
      <c r="W256" s="2">
        <v>147.19999999999999</v>
      </c>
      <c r="X256" s="2">
        <v>146.4</v>
      </c>
      <c r="Y256" s="2">
        <v>151.69999999999999</v>
      </c>
      <c r="Z256" s="2">
        <v>130.30000000000001</v>
      </c>
      <c r="AA256" s="2">
        <v>143.19999999999999</v>
      </c>
      <c r="AB256" s="2">
        <v>156.19999999999999</v>
      </c>
      <c r="AC256" s="2">
        <v>143.4</v>
      </c>
      <c r="AD256" s="2">
        <v>143.6</v>
      </c>
      <c r="AE256" s="2">
        <v>149.1</v>
      </c>
      <c r="AG256" s="20">
        <f t="shared" si="12"/>
        <v>147.04615384615383</v>
      </c>
      <c r="AH256" s="2">
        <v>170.1</v>
      </c>
      <c r="AI256" s="20">
        <f t="shared" si="13"/>
        <v>149.46666666666667</v>
      </c>
      <c r="AJ256" s="20">
        <f t="shared" si="14"/>
        <v>147.33333333333334</v>
      </c>
      <c r="AK256" s="20">
        <f t="shared" si="15"/>
        <v>144.73333333333332</v>
      </c>
    </row>
    <row r="257" spans="1:37" ht="15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144.4</v>
      </c>
      <c r="F257" s="2">
        <v>166.8</v>
      </c>
      <c r="G257" s="2">
        <v>147.6</v>
      </c>
      <c r="H257" s="2">
        <v>151.69999999999999</v>
      </c>
      <c r="I257" s="2">
        <v>133.30000000000001</v>
      </c>
      <c r="J257" s="2">
        <v>141.80000000000001</v>
      </c>
      <c r="K257" s="2">
        <v>152.30000000000001</v>
      </c>
      <c r="L257" s="2">
        <v>141.80000000000001</v>
      </c>
      <c r="M257" s="2">
        <v>112.6</v>
      </c>
      <c r="N257" s="2">
        <v>154</v>
      </c>
      <c r="O257" s="2">
        <v>140.1</v>
      </c>
      <c r="P257" s="2">
        <v>160</v>
      </c>
      <c r="Q257" s="2">
        <v>148.19999999999999</v>
      </c>
      <c r="R257" s="2">
        <v>170.5</v>
      </c>
      <c r="S257" s="2">
        <v>153.4</v>
      </c>
      <c r="T257" s="2">
        <v>147.6</v>
      </c>
      <c r="U257" s="2">
        <v>152.5</v>
      </c>
      <c r="V257" s="2">
        <f>VLOOKUP($A257,'Impute housing Missing Value'!$A$1:$C$125,3,0)</f>
        <v>154.5</v>
      </c>
      <c r="W257" s="2">
        <v>153.4</v>
      </c>
      <c r="X257" s="2">
        <v>151.5</v>
      </c>
      <c r="Y257" s="2">
        <v>156.69999999999999</v>
      </c>
      <c r="Z257" s="2">
        <v>135.80000000000001</v>
      </c>
      <c r="AA257" s="2">
        <v>151.19999999999999</v>
      </c>
      <c r="AB257" s="2">
        <v>161.19999999999999</v>
      </c>
      <c r="AC257" s="2">
        <v>145.1</v>
      </c>
      <c r="AD257" s="2">
        <v>148.6</v>
      </c>
      <c r="AE257" s="2">
        <v>149.80000000000001</v>
      </c>
      <c r="AG257" s="20">
        <f t="shared" si="12"/>
        <v>145.73846153846151</v>
      </c>
      <c r="AH257" s="2">
        <v>170.5</v>
      </c>
      <c r="AI257" s="20">
        <f t="shared" si="13"/>
        <v>153.13333333333333</v>
      </c>
      <c r="AJ257" s="20">
        <f t="shared" si="14"/>
        <v>151.16666666666666</v>
      </c>
      <c r="AK257" s="20">
        <f t="shared" si="15"/>
        <v>149.76666666666668</v>
      </c>
    </row>
    <row r="258" spans="1:37" ht="15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146.5</v>
      </c>
      <c r="F258" s="2">
        <v>167.5</v>
      </c>
      <c r="G258" s="2">
        <v>148.9</v>
      </c>
      <c r="H258" s="2">
        <v>151.1</v>
      </c>
      <c r="I258" s="2">
        <v>127.5</v>
      </c>
      <c r="J258" s="2">
        <v>143.30000000000001</v>
      </c>
      <c r="K258" s="2">
        <v>167</v>
      </c>
      <c r="L258" s="2">
        <v>139.69999999999999</v>
      </c>
      <c r="M258" s="2">
        <v>114.4</v>
      </c>
      <c r="N258" s="2">
        <v>151.5</v>
      </c>
      <c r="O258" s="2">
        <v>131.9</v>
      </c>
      <c r="P258" s="2">
        <v>159.1</v>
      </c>
      <c r="Q258" s="2">
        <v>150.1</v>
      </c>
      <c r="R258" s="2">
        <v>173.3</v>
      </c>
      <c r="S258" s="2">
        <v>147.69999999999999</v>
      </c>
      <c r="T258" s="2">
        <v>133.80000000000001</v>
      </c>
      <c r="U258" s="2">
        <v>145.6</v>
      </c>
      <c r="V258" s="2">
        <v>154.5</v>
      </c>
      <c r="W258" s="2">
        <v>141.4</v>
      </c>
      <c r="X258" s="2">
        <v>140.80000000000001</v>
      </c>
      <c r="Y258" s="2">
        <v>145</v>
      </c>
      <c r="Z258" s="2">
        <v>124.6</v>
      </c>
      <c r="AA258" s="2">
        <v>137.9</v>
      </c>
      <c r="AB258" s="2">
        <v>152.5</v>
      </c>
      <c r="AC258" s="2">
        <v>145.30000000000001</v>
      </c>
      <c r="AD258" s="2">
        <v>138.69999999999999</v>
      </c>
      <c r="AE258" s="2">
        <v>147.30000000000001</v>
      </c>
      <c r="AG258" s="20">
        <f t="shared" si="12"/>
        <v>146.03846153846155</v>
      </c>
      <c r="AH258" s="2">
        <v>173.3</v>
      </c>
      <c r="AI258" s="20">
        <f t="shared" si="13"/>
        <v>145.56666666666666</v>
      </c>
      <c r="AJ258" s="20">
        <f t="shared" si="14"/>
        <v>142.36666666666667</v>
      </c>
      <c r="AK258" s="20">
        <f t="shared" si="15"/>
        <v>140.66666666666666</v>
      </c>
    </row>
    <row r="259" spans="1:37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145.1</v>
      </c>
      <c r="F259" s="2">
        <v>167</v>
      </c>
      <c r="G259" s="2">
        <v>148.1</v>
      </c>
      <c r="H259" s="2">
        <v>151.5</v>
      </c>
      <c r="I259" s="2">
        <v>131.19999999999999</v>
      </c>
      <c r="J259" s="2">
        <v>142.5</v>
      </c>
      <c r="K259" s="2">
        <v>157.30000000000001</v>
      </c>
      <c r="L259" s="2">
        <v>141.1</v>
      </c>
      <c r="M259" s="2">
        <v>113.2</v>
      </c>
      <c r="N259" s="2">
        <v>153.19999999999999</v>
      </c>
      <c r="O259" s="2">
        <v>136.69999999999999</v>
      </c>
      <c r="P259" s="2">
        <v>159.6</v>
      </c>
      <c r="Q259" s="2">
        <v>148.9</v>
      </c>
      <c r="R259" s="2">
        <v>171.2</v>
      </c>
      <c r="S259" s="2">
        <v>151.19999999999999</v>
      </c>
      <c r="T259" s="2">
        <v>141.9</v>
      </c>
      <c r="U259" s="2">
        <v>149.80000000000001</v>
      </c>
      <c r="V259" s="2">
        <v>154.5</v>
      </c>
      <c r="W259" s="2">
        <v>148.9</v>
      </c>
      <c r="X259" s="2">
        <v>146.4</v>
      </c>
      <c r="Y259" s="2">
        <v>152.30000000000001</v>
      </c>
      <c r="Z259" s="2">
        <v>129.9</v>
      </c>
      <c r="AA259" s="2">
        <v>143.69999999999999</v>
      </c>
      <c r="AB259" s="2">
        <v>156.1</v>
      </c>
      <c r="AC259" s="2">
        <v>145.19999999999999</v>
      </c>
      <c r="AD259" s="2">
        <v>143.80000000000001</v>
      </c>
      <c r="AE259" s="2">
        <v>148.6</v>
      </c>
      <c r="AG259" s="20">
        <f t="shared" ref="AG259:AG322" si="16">AVERAGE(E259:Q259)</f>
        <v>145.80000000000001</v>
      </c>
      <c r="AH259" s="2">
        <v>171.2</v>
      </c>
      <c r="AI259" s="20">
        <f t="shared" ref="AI259:AI322" si="17">AVERAGE(V259:X259)</f>
        <v>149.93333333333331</v>
      </c>
      <c r="AJ259" s="20">
        <f t="shared" ref="AJ259:AJ322" si="18">AVERAGE(S259:U259)</f>
        <v>147.63333333333335</v>
      </c>
      <c r="AK259" s="20">
        <f t="shared" ref="AK259:AK322" si="19">AVERAGE(Y259:AD259)</f>
        <v>145.16666666666666</v>
      </c>
    </row>
    <row r="260" spans="1:37" ht="15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2">
        <v>147.19999999999999</v>
      </c>
      <c r="F260" s="17">
        <f>F257+(F266-F257)/3</f>
        <v>174.63333333333335</v>
      </c>
      <c r="G260" s="2">
        <v>146.9</v>
      </c>
      <c r="H260" s="2">
        <v>155.6</v>
      </c>
      <c r="I260" s="2">
        <v>137.1</v>
      </c>
      <c r="J260" s="2">
        <v>147.30000000000001</v>
      </c>
      <c r="K260" s="2">
        <v>162.69999999999999</v>
      </c>
      <c r="L260" s="2">
        <v>150.19999999999999</v>
      </c>
      <c r="M260" s="2">
        <v>119.8</v>
      </c>
      <c r="N260" s="2">
        <v>158.69999999999999</v>
      </c>
      <c r="O260" s="2">
        <v>139.19999999999999</v>
      </c>
      <c r="P260" s="1">
        <f>P266+(P266-P257)/3</f>
        <v>162.4</v>
      </c>
      <c r="Q260" s="2">
        <v>150.1</v>
      </c>
      <c r="R260" s="17">
        <f>R257+(R263-R257)/3</f>
        <v>174.48888888888888</v>
      </c>
      <c r="S260" s="17">
        <f t="shared" ref="S260:U260" si="20">S257+(S263-S257)/3</f>
        <v>151.86666666666667</v>
      </c>
      <c r="T260" s="17">
        <f t="shared" si="20"/>
        <v>149.32222222222222</v>
      </c>
      <c r="U260" s="17">
        <f t="shared" si="20"/>
        <v>147.1888888888889</v>
      </c>
      <c r="V260" s="2">
        <f>VLOOKUP($A260,'Impute housing Missing Value'!$A$1:$C$125,3,0)</f>
        <v>155.6</v>
      </c>
      <c r="W260" s="2">
        <v>148.4</v>
      </c>
      <c r="X260" s="17">
        <f>X257+(X263-X257)/3</f>
        <v>151.54444444444445</v>
      </c>
      <c r="Y260" s="2">
        <v>154.30000000000001</v>
      </c>
      <c r="Z260" s="17">
        <f>Z257+(Z263-Z257)/3</f>
        <v>137.04444444444445</v>
      </c>
      <c r="AA260" s="17">
        <f t="shared" ref="AA260:AE260" si="21">AA257+(AA263-AA257)/3</f>
        <v>151.64444444444445</v>
      </c>
      <c r="AB260" s="17">
        <f t="shared" si="21"/>
        <v>161.33333333333331</v>
      </c>
      <c r="AC260" s="17">
        <f t="shared" si="21"/>
        <v>146.45555555555555</v>
      </c>
      <c r="AD260" s="17">
        <f t="shared" si="21"/>
        <v>149.28888888888889</v>
      </c>
      <c r="AE260" s="17">
        <f t="shared" si="21"/>
        <v>150.44444444444446</v>
      </c>
      <c r="AG260" s="20">
        <f t="shared" si="16"/>
        <v>150.14102564102566</v>
      </c>
      <c r="AH260" s="17">
        <f>AH257+(AH263-AH257)/3</f>
        <v>165.21111111111111</v>
      </c>
      <c r="AI260" s="20">
        <f t="shared" si="17"/>
        <v>151.84814814814817</v>
      </c>
      <c r="AJ260" s="20">
        <f t="shared" si="18"/>
        <v>149.45925925925926</v>
      </c>
      <c r="AK260" s="20">
        <f t="shared" si="19"/>
        <v>150.01111111111109</v>
      </c>
    </row>
    <row r="261" spans="1:37" ht="15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2">
        <v>151.80000000000001</v>
      </c>
      <c r="F261" s="17">
        <f>F258+(F267-F258)/3</f>
        <v>177.33333333333334</v>
      </c>
      <c r="G261" s="2">
        <v>151.9</v>
      </c>
      <c r="H261" s="2">
        <v>155.5</v>
      </c>
      <c r="I261" s="2">
        <v>131.6</v>
      </c>
      <c r="J261" s="2">
        <v>152.9</v>
      </c>
      <c r="K261" s="2">
        <v>180</v>
      </c>
      <c r="L261" s="2">
        <v>150.80000000000001</v>
      </c>
      <c r="M261" s="2">
        <v>121.2</v>
      </c>
      <c r="N261" s="2">
        <v>154</v>
      </c>
      <c r="O261" s="2">
        <v>133.5</v>
      </c>
      <c r="P261" s="17">
        <f>P258+(P267-P258)/3</f>
        <v>159.96666666666667</v>
      </c>
      <c r="Q261" s="2">
        <v>153.5</v>
      </c>
      <c r="R261" s="17">
        <f>R258+(R267-R258)/3</f>
        <v>177.76666666666668</v>
      </c>
      <c r="S261" s="17">
        <f t="shared" ref="S261:U262" si="22">S258+(S267-S258)/3</f>
        <v>148.16666666666666</v>
      </c>
      <c r="T261" s="17">
        <f t="shared" si="22"/>
        <v>134.73333333333335</v>
      </c>
      <c r="U261" s="17">
        <f t="shared" si="22"/>
        <v>146.13333333333333</v>
      </c>
      <c r="V261" s="2">
        <v>155.6</v>
      </c>
      <c r="W261" s="2">
        <v>137.1</v>
      </c>
      <c r="X261" s="1">
        <f>X258+(X267-X258)</f>
        <v>140.4</v>
      </c>
      <c r="Y261" s="2">
        <v>144.80000000000001</v>
      </c>
      <c r="Z261" s="17">
        <f>Z258+(Z267-Z258)/3</f>
        <v>126.16666666666667</v>
      </c>
      <c r="AA261" s="17">
        <f t="shared" ref="AA261:AE262" si="23">AA258+(AA267-AA258)/3</f>
        <v>140.1</v>
      </c>
      <c r="AB261" s="17">
        <f t="shared" si="23"/>
        <v>152.5</v>
      </c>
      <c r="AC261" s="17">
        <f t="shared" si="23"/>
        <v>147.6</v>
      </c>
      <c r="AD261" s="17">
        <f t="shared" si="23"/>
        <v>139.79999999999998</v>
      </c>
      <c r="AE261" s="17">
        <f t="shared" si="23"/>
        <v>148.46666666666667</v>
      </c>
      <c r="AG261" s="20">
        <f t="shared" si="16"/>
        <v>151.84615384615384</v>
      </c>
      <c r="AH261" s="17">
        <f>AH258+(AH267-AH258)/3</f>
        <v>177.76666666666668</v>
      </c>
      <c r="AI261" s="20">
        <f t="shared" si="17"/>
        <v>144.36666666666667</v>
      </c>
      <c r="AJ261" s="20">
        <f t="shared" si="18"/>
        <v>143.01111111111109</v>
      </c>
      <c r="AK261" s="20">
        <f t="shared" si="19"/>
        <v>141.82777777777778</v>
      </c>
    </row>
    <row r="262" spans="1:37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2">
        <v>148.69999999999999</v>
      </c>
      <c r="F262" s="17">
        <f>F259+(F268-F259)/3</f>
        <v>175.56666666666666</v>
      </c>
      <c r="G262" s="2">
        <v>148.80000000000001</v>
      </c>
      <c r="H262" s="2">
        <v>155.6</v>
      </c>
      <c r="I262" s="2">
        <v>135.1</v>
      </c>
      <c r="J262" s="2">
        <v>149.9</v>
      </c>
      <c r="K262" s="2">
        <v>168.6</v>
      </c>
      <c r="L262" s="2">
        <v>150.4</v>
      </c>
      <c r="M262" s="2">
        <v>120.3</v>
      </c>
      <c r="N262" s="2">
        <v>157.1</v>
      </c>
      <c r="O262" s="2">
        <v>136.80000000000001</v>
      </c>
      <c r="P262" s="17">
        <f>P259+(P268-P259)/3</f>
        <v>160.33333333333334</v>
      </c>
      <c r="Q262" s="2">
        <v>151.4</v>
      </c>
      <c r="R262" s="17">
        <f>R259+(R268-R259)/3</f>
        <v>175.29999999999998</v>
      </c>
      <c r="S262" s="17">
        <f t="shared" si="22"/>
        <v>151.63333333333333</v>
      </c>
      <c r="T262" s="17">
        <f t="shared" si="22"/>
        <v>142.73333333333335</v>
      </c>
      <c r="U262" s="17">
        <f>U259+(U268-U259)/3</f>
        <v>150.33333333333334</v>
      </c>
      <c r="V262" s="2">
        <v>155.6</v>
      </c>
      <c r="W262" s="2">
        <v>144.1</v>
      </c>
      <c r="X262" s="1">
        <f>X259+(X268-X259)/3</f>
        <v>146.4</v>
      </c>
      <c r="Y262" s="2">
        <v>150.69999999999999</v>
      </c>
      <c r="Z262" s="17">
        <f>Z259+(Z268-Z259)/3</f>
        <v>131.6</v>
      </c>
      <c r="AA262" s="17">
        <f t="shared" si="23"/>
        <v>145.23333333333332</v>
      </c>
      <c r="AB262" s="17">
        <f t="shared" si="23"/>
        <v>156.19999999999999</v>
      </c>
      <c r="AC262" s="17">
        <f t="shared" si="23"/>
        <v>147.33333333333331</v>
      </c>
      <c r="AD262" s="17">
        <f t="shared" si="23"/>
        <v>144.86666666666667</v>
      </c>
      <c r="AE262" s="17">
        <f t="shared" si="23"/>
        <v>149.66666666666666</v>
      </c>
      <c r="AG262" s="20">
        <f t="shared" si="16"/>
        <v>150.66153846153844</v>
      </c>
      <c r="AH262" s="17">
        <f>AH259+(AH268-AH259)/3</f>
        <v>175.29999999999998</v>
      </c>
      <c r="AI262" s="20">
        <f t="shared" si="17"/>
        <v>148.70000000000002</v>
      </c>
      <c r="AJ262" s="20">
        <f t="shared" si="18"/>
        <v>148.23333333333335</v>
      </c>
      <c r="AK262" s="20">
        <f t="shared" si="19"/>
        <v>145.98888888888888</v>
      </c>
    </row>
    <row r="263" spans="1:37" ht="15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">
        <f>AVERAGE(E260,E266)</f>
        <v>147.69999999999999</v>
      </c>
      <c r="F263" s="17">
        <f>F257+2*(F266-F257)/3</f>
        <v>182.46666666666667</v>
      </c>
      <c r="G263" s="17">
        <f t="shared" ref="G263:V265" si="24">AVERAGE(G260,G266)</f>
        <v>148.15</v>
      </c>
      <c r="H263" s="17">
        <f t="shared" si="24"/>
        <v>154.44999999999999</v>
      </c>
      <c r="I263" s="17">
        <f t="shared" si="24"/>
        <v>137.64999999999998</v>
      </c>
      <c r="J263" s="17">
        <f t="shared" si="24"/>
        <v>145.25</v>
      </c>
      <c r="K263" s="17">
        <f t="shared" si="24"/>
        <v>155.80000000000001</v>
      </c>
      <c r="L263" s="17">
        <f t="shared" si="24"/>
        <v>150.25</v>
      </c>
      <c r="M263" s="1">
        <f t="shared" si="24"/>
        <v>116.5</v>
      </c>
      <c r="N263" s="17">
        <f t="shared" si="24"/>
        <v>159.25</v>
      </c>
      <c r="O263" s="17">
        <f t="shared" si="24"/>
        <v>140.64999999999998</v>
      </c>
      <c r="P263" s="17">
        <f>P257+2*(P266-P257)/3</f>
        <v>161.20000000000002</v>
      </c>
      <c r="Q263" s="1">
        <f t="shared" si="24"/>
        <v>151.19999999999999</v>
      </c>
      <c r="R263" s="17">
        <f>F257+2*(F266-F257)/3</f>
        <v>182.46666666666667</v>
      </c>
      <c r="S263" s="17">
        <f t="shared" ref="S263:V263" si="25">G257+2*(G266-G257)/3</f>
        <v>148.80000000000001</v>
      </c>
      <c r="T263" s="17">
        <f t="shared" si="25"/>
        <v>152.76666666666668</v>
      </c>
      <c r="U263" s="17">
        <f t="shared" si="25"/>
        <v>136.56666666666666</v>
      </c>
      <c r="V263" s="17">
        <f t="shared" si="25"/>
        <v>142.73333333333332</v>
      </c>
      <c r="W263" s="17">
        <f>AVERAGE(W260,W266)</f>
        <v>146.65</v>
      </c>
      <c r="X263" s="17">
        <f>X257+2*(X266-X257)/3</f>
        <v>151.63333333333333</v>
      </c>
      <c r="Y263" s="17">
        <f t="shared" ref="Y263" si="26">AVERAGE(Y260,Y266)</f>
        <v>156.25</v>
      </c>
      <c r="Z263" s="17">
        <f>Z257+2*(Z266-Z257)/3</f>
        <v>139.53333333333333</v>
      </c>
      <c r="AA263" s="17">
        <f t="shared" ref="AA263:AE265" si="27">AA257+2*(AA266-AA257)/3</f>
        <v>152.53333333333333</v>
      </c>
      <c r="AB263" s="17">
        <f t="shared" si="27"/>
        <v>161.6</v>
      </c>
      <c r="AC263" s="17">
        <f t="shared" si="27"/>
        <v>149.16666666666666</v>
      </c>
      <c r="AD263" s="17">
        <f t="shared" si="27"/>
        <v>150.66666666666666</v>
      </c>
      <c r="AE263" s="17">
        <f t="shared" si="27"/>
        <v>151.73333333333332</v>
      </c>
      <c r="AG263" s="20">
        <f t="shared" si="16"/>
        <v>150.03974358974361</v>
      </c>
      <c r="AH263" s="17">
        <f>V257+2*(V266-V257)/3</f>
        <v>154.63333333333333</v>
      </c>
      <c r="AI263" s="20">
        <f t="shared" si="17"/>
        <v>147.00555555555556</v>
      </c>
      <c r="AJ263" s="20">
        <f t="shared" si="18"/>
        <v>146.04444444444445</v>
      </c>
      <c r="AK263" s="20">
        <f t="shared" si="19"/>
        <v>151.62499999999997</v>
      </c>
    </row>
    <row r="264" spans="1:37" ht="15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9">
        <f>AVERAGE(E261,E267)</f>
        <v>152.25</v>
      </c>
      <c r="F264" s="17">
        <f>F258+2*(F267-F258)/3</f>
        <v>187.16666666666666</v>
      </c>
      <c r="G264" s="19">
        <f t="shared" si="24"/>
        <v>153.25</v>
      </c>
      <c r="H264" s="19">
        <f t="shared" si="24"/>
        <v>154.44999999999999</v>
      </c>
      <c r="I264" s="19">
        <f t="shared" si="24"/>
        <v>132.25</v>
      </c>
      <c r="J264" s="19">
        <f t="shared" si="24"/>
        <v>152.35000000000002</v>
      </c>
      <c r="K264" s="19">
        <f t="shared" si="24"/>
        <v>175.6</v>
      </c>
      <c r="L264" s="19">
        <f t="shared" si="24"/>
        <v>151.4</v>
      </c>
      <c r="M264" s="19">
        <f t="shared" si="24"/>
        <v>118.75</v>
      </c>
      <c r="N264" s="19">
        <f t="shared" si="24"/>
        <v>156.4</v>
      </c>
      <c r="O264" s="19">
        <f t="shared" si="24"/>
        <v>134.55000000000001</v>
      </c>
      <c r="P264" s="17">
        <f>P258+2*(P267-P258)/3</f>
        <v>160.83333333333331</v>
      </c>
      <c r="Q264" s="19">
        <f t="shared" si="24"/>
        <v>155.25</v>
      </c>
      <c r="R264" s="17">
        <f>R258+2*(R267-R258)/3</f>
        <v>182.23333333333332</v>
      </c>
      <c r="S264" s="17">
        <f t="shared" ref="S264:V265" si="28">S258+2*(S267-S258)/3</f>
        <v>148.63333333333333</v>
      </c>
      <c r="T264" s="17">
        <f t="shared" si="28"/>
        <v>135.66666666666666</v>
      </c>
      <c r="U264" s="17">
        <f t="shared" si="28"/>
        <v>146.66666666666666</v>
      </c>
      <c r="V264" s="19">
        <f t="shared" si="24"/>
        <v>155.14999999999998</v>
      </c>
      <c r="W264" s="19">
        <f t="shared" ref="W264:Y265" si="29">AVERAGE(W261,W267)</f>
        <v>137.1</v>
      </c>
      <c r="X264" s="17">
        <f>X258+2*(X267-X258)/3</f>
        <v>140.53333333333333</v>
      </c>
      <c r="Y264" s="19">
        <f t="shared" si="29"/>
        <v>146.44999999999999</v>
      </c>
      <c r="Z264" s="17">
        <f>Z258+2*(Z267-Z258)/3</f>
        <v>127.73333333333333</v>
      </c>
      <c r="AA264" s="17">
        <f t="shared" si="27"/>
        <v>142.30000000000001</v>
      </c>
      <c r="AB264" s="17">
        <f t="shared" si="27"/>
        <v>152.5</v>
      </c>
      <c r="AC264" s="17">
        <f t="shared" si="27"/>
        <v>149.9</v>
      </c>
      <c r="AD264" s="17">
        <f t="shared" si="27"/>
        <v>140.9</v>
      </c>
      <c r="AE264" s="17">
        <f t="shared" si="27"/>
        <v>149.63333333333335</v>
      </c>
      <c r="AG264" s="20">
        <f t="shared" si="16"/>
        <v>152.65384615384616</v>
      </c>
      <c r="AH264" s="17">
        <f>AH258+2*(AH267-AH258)/3</f>
        <v>182.23333333333332</v>
      </c>
      <c r="AI264" s="20">
        <f t="shared" si="17"/>
        <v>144.26111111111109</v>
      </c>
      <c r="AJ264" s="20">
        <f t="shared" si="18"/>
        <v>143.65555555555554</v>
      </c>
      <c r="AK264" s="20">
        <f t="shared" si="19"/>
        <v>143.29722222222222</v>
      </c>
    </row>
    <row r="265" spans="1:37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9">
        <f>AVERAGE(E262,E268)</f>
        <v>149.14999999999998</v>
      </c>
      <c r="F265" s="17">
        <f>F259+2*(F268-F259)/3</f>
        <v>184.13333333333333</v>
      </c>
      <c r="G265" s="9">
        <f t="shared" si="24"/>
        <v>150.10000000000002</v>
      </c>
      <c r="H265" s="9">
        <f t="shared" si="24"/>
        <v>154.44999999999999</v>
      </c>
      <c r="I265" s="9">
        <f t="shared" si="24"/>
        <v>135.69999999999999</v>
      </c>
      <c r="J265" s="9">
        <f t="shared" si="24"/>
        <v>148.55000000000001</v>
      </c>
      <c r="K265" s="9">
        <f t="shared" si="24"/>
        <v>162.55000000000001</v>
      </c>
      <c r="L265" s="9">
        <f t="shared" si="24"/>
        <v>150.65</v>
      </c>
      <c r="M265" s="9">
        <f t="shared" si="24"/>
        <v>117.25</v>
      </c>
      <c r="N265" s="9">
        <f t="shared" si="24"/>
        <v>158.30000000000001</v>
      </c>
      <c r="O265" s="9">
        <f t="shared" si="24"/>
        <v>138.10000000000002</v>
      </c>
      <c r="P265" s="17">
        <f>P259+2*(P268-P259)/3</f>
        <v>161.06666666666666</v>
      </c>
      <c r="Q265" s="9">
        <f t="shared" si="24"/>
        <v>152.69999999999999</v>
      </c>
      <c r="R265" s="17">
        <f>R259+2*(R268-R259)/3</f>
        <v>179.4</v>
      </c>
      <c r="S265" s="17">
        <f t="shared" si="28"/>
        <v>152.06666666666666</v>
      </c>
      <c r="T265" s="17">
        <f t="shared" si="28"/>
        <v>143.56666666666666</v>
      </c>
      <c r="U265" s="17">
        <f t="shared" si="28"/>
        <v>150.86666666666667</v>
      </c>
      <c r="V265" s="17">
        <f t="shared" si="28"/>
        <v>154.63333333333333</v>
      </c>
      <c r="W265" s="9">
        <f t="shared" si="29"/>
        <v>143</v>
      </c>
      <c r="X265" s="1">
        <v>146.4</v>
      </c>
      <c r="Y265" s="9">
        <f t="shared" si="29"/>
        <v>152.55000000000001</v>
      </c>
      <c r="Z265" s="1">
        <f>Z259+2*(Z268-Z259)/3</f>
        <v>133.30000000000001</v>
      </c>
      <c r="AA265" s="16">
        <f t="shared" si="27"/>
        <v>146.76666666666668</v>
      </c>
      <c r="AB265" s="16">
        <f t="shared" si="27"/>
        <v>156.30000000000001</v>
      </c>
      <c r="AC265" s="16">
        <f t="shared" si="27"/>
        <v>149.46666666666667</v>
      </c>
      <c r="AD265" s="16">
        <f t="shared" si="27"/>
        <v>145.93333333333334</v>
      </c>
      <c r="AE265" s="16">
        <f>AE259+2*(AE268-AE259)/3</f>
        <v>150.73333333333335</v>
      </c>
      <c r="AG265" s="20">
        <f t="shared" si="16"/>
        <v>150.97692307692307</v>
      </c>
      <c r="AH265" s="17">
        <f>AH259+2*(AH268-AH259)/3</f>
        <v>179.4</v>
      </c>
      <c r="AI265" s="20">
        <f t="shared" si="17"/>
        <v>148.01111111111109</v>
      </c>
      <c r="AJ265" s="20">
        <f t="shared" si="18"/>
        <v>148.83333333333334</v>
      </c>
      <c r="AK265" s="20">
        <f t="shared" si="19"/>
        <v>147.38611111111115</v>
      </c>
    </row>
    <row r="266" spans="1:37" ht="15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148.19999999999999</v>
      </c>
      <c r="F266" s="2">
        <v>190.3</v>
      </c>
      <c r="G266" s="2">
        <v>149.4</v>
      </c>
      <c r="H266" s="2">
        <v>153.30000000000001</v>
      </c>
      <c r="I266" s="2">
        <v>138.19999999999999</v>
      </c>
      <c r="J266" s="2">
        <v>143.19999999999999</v>
      </c>
      <c r="K266" s="2">
        <v>148.9</v>
      </c>
      <c r="L266" s="2">
        <v>150.30000000000001</v>
      </c>
      <c r="M266" s="2">
        <v>113.2</v>
      </c>
      <c r="N266" s="2">
        <v>159.80000000000001</v>
      </c>
      <c r="O266" s="2">
        <v>142.1</v>
      </c>
      <c r="P266" s="2">
        <v>161.80000000000001</v>
      </c>
      <c r="Q266" s="2">
        <v>152.30000000000001</v>
      </c>
      <c r="R266" s="2">
        <v>182.4</v>
      </c>
      <c r="S266" s="2">
        <v>154.69999999999999</v>
      </c>
      <c r="T266" s="2">
        <v>150</v>
      </c>
      <c r="U266" s="2">
        <v>154.1</v>
      </c>
      <c r="V266" s="2">
        <f>VLOOKUP($A266,'Impute housing Missing Value'!$A$1:$C$125,3,0)</f>
        <v>154.69999999999999</v>
      </c>
      <c r="W266" s="2">
        <v>144.9</v>
      </c>
      <c r="X266" s="18">
        <v>151.69999999999999</v>
      </c>
      <c r="Y266" s="2">
        <v>158.19999999999999</v>
      </c>
      <c r="Z266" s="2">
        <v>141.4</v>
      </c>
      <c r="AA266" s="2">
        <v>153.19999999999999</v>
      </c>
      <c r="AB266" s="2">
        <v>161.80000000000001</v>
      </c>
      <c r="AC266" s="2">
        <v>151.19999999999999</v>
      </c>
      <c r="AD266" s="2">
        <v>151.69999999999999</v>
      </c>
      <c r="AE266" s="2">
        <v>152.69999999999999</v>
      </c>
      <c r="AG266" s="20">
        <f t="shared" si="16"/>
        <v>150.07692307692307</v>
      </c>
      <c r="AH266" s="2">
        <v>182.4</v>
      </c>
      <c r="AI266" s="20">
        <f t="shared" si="17"/>
        <v>150.43333333333334</v>
      </c>
      <c r="AJ266" s="20">
        <f t="shared" si="18"/>
        <v>152.93333333333331</v>
      </c>
      <c r="AK266" s="20">
        <f t="shared" si="19"/>
        <v>152.91666666666666</v>
      </c>
    </row>
    <row r="267" spans="1:37" ht="15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152.69999999999999</v>
      </c>
      <c r="F267" s="2">
        <v>197</v>
      </c>
      <c r="G267" s="2">
        <v>154.6</v>
      </c>
      <c r="H267" s="2">
        <v>153.4</v>
      </c>
      <c r="I267" s="2">
        <v>132.9</v>
      </c>
      <c r="J267" s="2">
        <v>151.80000000000001</v>
      </c>
      <c r="K267" s="2">
        <v>171.2</v>
      </c>
      <c r="L267" s="2">
        <v>152</v>
      </c>
      <c r="M267" s="2">
        <v>116.3</v>
      </c>
      <c r="N267" s="2">
        <v>158.80000000000001</v>
      </c>
      <c r="O267" s="2">
        <v>135.6</v>
      </c>
      <c r="P267" s="2">
        <v>161.69999999999999</v>
      </c>
      <c r="Q267" s="2">
        <v>157</v>
      </c>
      <c r="R267" s="2">
        <v>186.7</v>
      </c>
      <c r="S267" s="2">
        <v>149.1</v>
      </c>
      <c r="T267" s="2">
        <v>136.6</v>
      </c>
      <c r="U267" s="2">
        <v>147.19999999999999</v>
      </c>
      <c r="V267" s="2">
        <v>154.69999999999999</v>
      </c>
      <c r="W267" s="2">
        <v>137.1</v>
      </c>
      <c r="X267" s="2">
        <v>140.4</v>
      </c>
      <c r="Y267" s="2">
        <v>148.1</v>
      </c>
      <c r="Z267" s="2">
        <v>129.30000000000001</v>
      </c>
      <c r="AA267" s="2">
        <v>144.5</v>
      </c>
      <c r="AB267" s="2">
        <v>152.5</v>
      </c>
      <c r="AC267" s="2">
        <v>152.19999999999999</v>
      </c>
      <c r="AD267" s="2">
        <v>142</v>
      </c>
      <c r="AE267" s="2">
        <v>150.80000000000001</v>
      </c>
      <c r="AG267" s="20">
        <f t="shared" si="16"/>
        <v>153.46153846153845</v>
      </c>
      <c r="AH267" s="2">
        <v>186.7</v>
      </c>
      <c r="AI267" s="20">
        <f t="shared" si="17"/>
        <v>144.06666666666663</v>
      </c>
      <c r="AJ267" s="20">
        <f t="shared" si="18"/>
        <v>144.29999999999998</v>
      </c>
      <c r="AK267" s="20">
        <f t="shared" si="19"/>
        <v>144.76666666666665</v>
      </c>
    </row>
    <row r="268" spans="1:37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149.6</v>
      </c>
      <c r="F268" s="2">
        <v>192.7</v>
      </c>
      <c r="G268" s="2">
        <v>151.4</v>
      </c>
      <c r="H268" s="2">
        <v>153.30000000000001</v>
      </c>
      <c r="I268" s="2">
        <v>136.30000000000001</v>
      </c>
      <c r="J268" s="2">
        <v>147.19999999999999</v>
      </c>
      <c r="K268" s="2">
        <v>156.5</v>
      </c>
      <c r="L268" s="2">
        <v>150.9</v>
      </c>
      <c r="M268" s="2">
        <v>114.2</v>
      </c>
      <c r="N268" s="2">
        <v>159.5</v>
      </c>
      <c r="O268" s="2">
        <v>139.4</v>
      </c>
      <c r="P268" s="2">
        <v>161.80000000000001</v>
      </c>
      <c r="Q268" s="2">
        <v>154</v>
      </c>
      <c r="R268" s="2">
        <v>183.5</v>
      </c>
      <c r="S268" s="2">
        <v>152.5</v>
      </c>
      <c r="T268" s="2">
        <v>144.4</v>
      </c>
      <c r="U268" s="2">
        <v>151.4</v>
      </c>
      <c r="V268" s="2">
        <v>154.69999999999999</v>
      </c>
      <c r="W268" s="2">
        <v>141.9</v>
      </c>
      <c r="X268" s="2">
        <v>146.4</v>
      </c>
      <c r="Y268" s="2">
        <v>154.4</v>
      </c>
      <c r="Z268" s="2">
        <v>135</v>
      </c>
      <c r="AA268" s="2">
        <v>148.30000000000001</v>
      </c>
      <c r="AB268" s="2">
        <v>156.4</v>
      </c>
      <c r="AC268" s="2">
        <v>151.6</v>
      </c>
      <c r="AD268" s="2">
        <v>147</v>
      </c>
      <c r="AE268" s="2">
        <v>151.80000000000001</v>
      </c>
      <c r="AG268" s="20">
        <f t="shared" si="16"/>
        <v>151.2923076923077</v>
      </c>
      <c r="AH268" s="2">
        <v>183.5</v>
      </c>
      <c r="AI268" s="20">
        <f t="shared" si="17"/>
        <v>147.66666666666666</v>
      </c>
      <c r="AJ268" s="20">
        <f t="shared" si="18"/>
        <v>149.43333333333331</v>
      </c>
      <c r="AK268" s="20">
        <f t="shared" si="19"/>
        <v>148.78333333333333</v>
      </c>
    </row>
    <row r="269" spans="1:37" ht="15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148.19999999999999</v>
      </c>
      <c r="F269" s="2">
        <v>190.3</v>
      </c>
      <c r="G269" s="2">
        <v>149.4</v>
      </c>
      <c r="H269" s="2">
        <v>153.30000000000001</v>
      </c>
      <c r="I269" s="2">
        <v>138.19999999999999</v>
      </c>
      <c r="J269" s="2">
        <v>143.19999999999999</v>
      </c>
      <c r="K269" s="2">
        <v>148.9</v>
      </c>
      <c r="L269" s="2">
        <v>150.30000000000001</v>
      </c>
      <c r="M269" s="2">
        <v>113.2</v>
      </c>
      <c r="N269" s="2">
        <v>159.80000000000001</v>
      </c>
      <c r="O269" s="2">
        <v>142.1</v>
      </c>
      <c r="P269" s="2">
        <v>161.80000000000001</v>
      </c>
      <c r="Q269" s="2">
        <v>152.30000000000001</v>
      </c>
      <c r="R269" s="2">
        <v>182.4</v>
      </c>
      <c r="S269" s="2">
        <v>154.69999999999999</v>
      </c>
      <c r="T269" s="2">
        <v>150</v>
      </c>
      <c r="U269" s="2">
        <v>154.1</v>
      </c>
      <c r="V269" s="2">
        <f>VLOOKUP($A269,'Impute housing Missing Value'!$A$1:$C$125,3,0)</f>
        <v>154.69999999999999</v>
      </c>
      <c r="W269" s="2">
        <v>144.9</v>
      </c>
      <c r="X269" s="2">
        <v>151.69999999999999</v>
      </c>
      <c r="Y269" s="2">
        <v>158.19999999999999</v>
      </c>
      <c r="Z269" s="2">
        <v>141.4</v>
      </c>
      <c r="AA269" s="2">
        <v>153.19999999999999</v>
      </c>
      <c r="AB269" s="2">
        <v>161.80000000000001</v>
      </c>
      <c r="AC269" s="2">
        <v>151.19999999999999</v>
      </c>
      <c r="AD269" s="2">
        <v>151.69999999999999</v>
      </c>
      <c r="AE269" s="2">
        <v>152.69999999999999</v>
      </c>
      <c r="AG269" s="20">
        <f t="shared" si="16"/>
        <v>150.07692307692307</v>
      </c>
      <c r="AH269" s="2">
        <v>182.4</v>
      </c>
      <c r="AI269" s="20">
        <f t="shared" si="17"/>
        <v>150.43333333333334</v>
      </c>
      <c r="AJ269" s="20">
        <f t="shared" si="18"/>
        <v>152.93333333333331</v>
      </c>
      <c r="AK269" s="20">
        <f t="shared" si="19"/>
        <v>152.91666666666666</v>
      </c>
    </row>
    <row r="270" spans="1:37" ht="15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152.69999999999999</v>
      </c>
      <c r="F270" s="2">
        <v>197</v>
      </c>
      <c r="G270" s="2">
        <v>154.6</v>
      </c>
      <c r="H270" s="2">
        <v>153.4</v>
      </c>
      <c r="I270" s="2">
        <v>132.9</v>
      </c>
      <c r="J270" s="2">
        <v>151.80000000000001</v>
      </c>
      <c r="K270" s="2">
        <v>171.2</v>
      </c>
      <c r="L270" s="2">
        <v>152</v>
      </c>
      <c r="M270" s="2">
        <v>116.3</v>
      </c>
      <c r="N270" s="2">
        <v>158.80000000000001</v>
      </c>
      <c r="O270" s="2">
        <v>135.6</v>
      </c>
      <c r="P270" s="2">
        <v>161.69999999999999</v>
      </c>
      <c r="Q270" s="2">
        <v>157</v>
      </c>
      <c r="R270" s="2">
        <v>186.7</v>
      </c>
      <c r="S270" s="2">
        <v>149.1</v>
      </c>
      <c r="T270" s="2">
        <v>136.6</v>
      </c>
      <c r="U270" s="2">
        <v>147.19999999999999</v>
      </c>
      <c r="V270" s="2">
        <v>154.69999999999999</v>
      </c>
      <c r="W270" s="2">
        <v>137.1</v>
      </c>
      <c r="X270" s="2">
        <v>140.4</v>
      </c>
      <c r="Y270" s="2">
        <v>148.1</v>
      </c>
      <c r="Z270" s="2">
        <v>129.30000000000001</v>
      </c>
      <c r="AA270" s="2">
        <v>144.5</v>
      </c>
      <c r="AB270" s="2">
        <v>152.5</v>
      </c>
      <c r="AC270" s="2">
        <v>152.19999999999999</v>
      </c>
      <c r="AD270" s="2">
        <v>142</v>
      </c>
      <c r="AE270" s="2">
        <v>150.80000000000001</v>
      </c>
      <c r="AG270" s="20">
        <f t="shared" si="16"/>
        <v>153.46153846153845</v>
      </c>
      <c r="AH270" s="2">
        <v>186.7</v>
      </c>
      <c r="AI270" s="20">
        <f t="shared" si="17"/>
        <v>144.06666666666663</v>
      </c>
      <c r="AJ270" s="20">
        <f t="shared" si="18"/>
        <v>144.29999999999998</v>
      </c>
      <c r="AK270" s="20">
        <f t="shared" si="19"/>
        <v>144.76666666666665</v>
      </c>
    </row>
    <row r="271" spans="1:37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149.6</v>
      </c>
      <c r="F271" s="2">
        <v>192.7</v>
      </c>
      <c r="G271" s="2">
        <v>151.4</v>
      </c>
      <c r="H271" s="2">
        <v>153.30000000000001</v>
      </c>
      <c r="I271" s="2">
        <v>136.30000000000001</v>
      </c>
      <c r="J271" s="2">
        <v>147.19999999999999</v>
      </c>
      <c r="K271" s="2">
        <v>156.5</v>
      </c>
      <c r="L271" s="2">
        <v>150.9</v>
      </c>
      <c r="M271" s="2">
        <v>114.2</v>
      </c>
      <c r="N271" s="2">
        <v>159.5</v>
      </c>
      <c r="O271" s="2">
        <v>139.4</v>
      </c>
      <c r="P271" s="2">
        <v>161.80000000000001</v>
      </c>
      <c r="Q271" s="2">
        <v>154</v>
      </c>
      <c r="R271" s="2">
        <v>183.5</v>
      </c>
      <c r="S271" s="2">
        <v>152.5</v>
      </c>
      <c r="T271" s="2">
        <v>144.4</v>
      </c>
      <c r="U271" s="2">
        <v>151.4</v>
      </c>
      <c r="V271" s="2">
        <v>154.69999999999999</v>
      </c>
      <c r="W271" s="2">
        <v>141.9</v>
      </c>
      <c r="X271" s="2">
        <v>146.4</v>
      </c>
      <c r="Y271" s="2">
        <v>154.4</v>
      </c>
      <c r="Z271" s="2">
        <v>135</v>
      </c>
      <c r="AA271" s="2">
        <v>148.30000000000001</v>
      </c>
      <c r="AB271" s="2">
        <v>156.4</v>
      </c>
      <c r="AC271" s="2">
        <v>151.6</v>
      </c>
      <c r="AD271" s="2">
        <v>147</v>
      </c>
      <c r="AE271" s="2">
        <v>151.80000000000001</v>
      </c>
      <c r="AG271" s="20">
        <f t="shared" si="16"/>
        <v>151.2923076923077</v>
      </c>
      <c r="AH271" s="2">
        <v>183.5</v>
      </c>
      <c r="AI271" s="20">
        <f t="shared" si="17"/>
        <v>147.66666666666666</v>
      </c>
      <c r="AJ271" s="20">
        <f t="shared" si="18"/>
        <v>149.43333333333331</v>
      </c>
      <c r="AK271" s="20">
        <f t="shared" si="19"/>
        <v>148.78333333333333</v>
      </c>
    </row>
    <row r="272" spans="1:37" ht="15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147.6</v>
      </c>
      <c r="F272" s="2">
        <v>187.2</v>
      </c>
      <c r="G272" s="2">
        <v>148.4</v>
      </c>
      <c r="H272" s="2">
        <v>153.30000000000001</v>
      </c>
      <c r="I272" s="2">
        <v>139.80000000000001</v>
      </c>
      <c r="J272" s="2">
        <v>146.9</v>
      </c>
      <c r="K272" s="2">
        <v>171</v>
      </c>
      <c r="L272" s="2">
        <v>149.9</v>
      </c>
      <c r="M272" s="2">
        <v>114.2</v>
      </c>
      <c r="N272" s="2">
        <v>160</v>
      </c>
      <c r="O272" s="2">
        <v>143.5</v>
      </c>
      <c r="P272" s="2">
        <v>161.5</v>
      </c>
      <c r="Q272" s="2">
        <v>155.30000000000001</v>
      </c>
      <c r="R272" s="2">
        <v>180.9</v>
      </c>
      <c r="S272" s="2">
        <v>155.1</v>
      </c>
      <c r="T272" s="2">
        <v>149.30000000000001</v>
      </c>
      <c r="U272" s="2">
        <v>154.30000000000001</v>
      </c>
      <c r="V272" s="2">
        <f>VLOOKUP($A272,'Impute housing Missing Value'!$A$1:$C$125,3,0)</f>
        <v>155.5</v>
      </c>
      <c r="W272" s="2">
        <v>145.80000000000001</v>
      </c>
      <c r="X272" s="2">
        <v>151.9</v>
      </c>
      <c r="Y272" s="2">
        <v>158.80000000000001</v>
      </c>
      <c r="Z272" s="2">
        <v>143.6</v>
      </c>
      <c r="AA272" s="2">
        <v>152.19999999999999</v>
      </c>
      <c r="AB272" s="2">
        <v>162.69999999999999</v>
      </c>
      <c r="AC272" s="2">
        <v>153.6</v>
      </c>
      <c r="AD272" s="2">
        <v>153</v>
      </c>
      <c r="AE272" s="2">
        <v>154.69999999999999</v>
      </c>
      <c r="AG272" s="20">
        <f t="shared" si="16"/>
        <v>152.19999999999999</v>
      </c>
      <c r="AH272" s="2">
        <v>180.9</v>
      </c>
      <c r="AI272" s="20">
        <f t="shared" si="17"/>
        <v>151.06666666666669</v>
      </c>
      <c r="AJ272" s="20">
        <f t="shared" si="18"/>
        <v>152.9</v>
      </c>
      <c r="AK272" s="20">
        <f t="shared" si="19"/>
        <v>153.98333333333332</v>
      </c>
    </row>
    <row r="273" spans="1:37" ht="15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151.6</v>
      </c>
      <c r="F273" s="2">
        <v>197.8</v>
      </c>
      <c r="G273" s="2">
        <v>154.5</v>
      </c>
      <c r="H273" s="2">
        <v>153.4</v>
      </c>
      <c r="I273" s="2">
        <v>133.4</v>
      </c>
      <c r="J273" s="2">
        <v>154.5</v>
      </c>
      <c r="K273" s="2">
        <v>191.9</v>
      </c>
      <c r="L273" s="2">
        <v>151.30000000000001</v>
      </c>
      <c r="M273" s="2">
        <v>116.8</v>
      </c>
      <c r="N273" s="2">
        <v>160</v>
      </c>
      <c r="O273" s="2">
        <v>136.5</v>
      </c>
      <c r="P273" s="2">
        <v>163.30000000000001</v>
      </c>
      <c r="Q273" s="2">
        <v>159.9</v>
      </c>
      <c r="R273" s="2">
        <v>187.2</v>
      </c>
      <c r="S273" s="2">
        <v>150</v>
      </c>
      <c r="T273" s="2">
        <v>135.19999999999999</v>
      </c>
      <c r="U273" s="2">
        <v>147.80000000000001</v>
      </c>
      <c r="V273" s="2">
        <v>155.5</v>
      </c>
      <c r="W273" s="2">
        <v>138.30000000000001</v>
      </c>
      <c r="X273" s="2">
        <v>144.5</v>
      </c>
      <c r="Y273" s="2">
        <v>148.69999999999999</v>
      </c>
      <c r="Z273" s="2">
        <v>133.9</v>
      </c>
      <c r="AA273" s="2">
        <v>141.19999999999999</v>
      </c>
      <c r="AB273" s="2">
        <v>155.5</v>
      </c>
      <c r="AC273" s="2">
        <v>155.19999999999999</v>
      </c>
      <c r="AD273" s="2">
        <v>144.80000000000001</v>
      </c>
      <c r="AE273" s="2">
        <v>152.9</v>
      </c>
      <c r="AG273" s="20">
        <f t="shared" si="16"/>
        <v>155.76153846153846</v>
      </c>
      <c r="AH273" s="2">
        <v>187.2</v>
      </c>
      <c r="AI273" s="20">
        <f t="shared" si="17"/>
        <v>146.1</v>
      </c>
      <c r="AJ273" s="20">
        <f t="shared" si="18"/>
        <v>144.33333333333334</v>
      </c>
      <c r="AK273" s="20">
        <f t="shared" si="19"/>
        <v>146.54999999999998</v>
      </c>
    </row>
    <row r="274" spans="1:37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148.9</v>
      </c>
      <c r="F274" s="2">
        <v>190.9</v>
      </c>
      <c r="G274" s="2">
        <v>150.80000000000001</v>
      </c>
      <c r="H274" s="2">
        <v>153.30000000000001</v>
      </c>
      <c r="I274" s="2">
        <v>137.4</v>
      </c>
      <c r="J274" s="2">
        <v>150.4</v>
      </c>
      <c r="K274" s="2">
        <v>178.1</v>
      </c>
      <c r="L274" s="2">
        <v>150.4</v>
      </c>
      <c r="M274" s="2">
        <v>115.1</v>
      </c>
      <c r="N274" s="2">
        <v>160</v>
      </c>
      <c r="O274" s="2">
        <v>140.6</v>
      </c>
      <c r="P274" s="2">
        <v>162.30000000000001</v>
      </c>
      <c r="Q274" s="2">
        <v>157</v>
      </c>
      <c r="R274" s="2">
        <v>182.6</v>
      </c>
      <c r="S274" s="2">
        <v>153.1</v>
      </c>
      <c r="T274" s="2">
        <v>143.4</v>
      </c>
      <c r="U274" s="2">
        <v>151.69999999999999</v>
      </c>
      <c r="V274" s="2">
        <v>155.5</v>
      </c>
      <c r="W274" s="2">
        <v>143</v>
      </c>
      <c r="X274" s="2">
        <v>148.4</v>
      </c>
      <c r="Y274" s="2">
        <v>155</v>
      </c>
      <c r="Z274" s="2">
        <v>138.5</v>
      </c>
      <c r="AA274" s="2">
        <v>146</v>
      </c>
      <c r="AB274" s="2">
        <v>158.5</v>
      </c>
      <c r="AC274" s="2">
        <v>154.30000000000001</v>
      </c>
      <c r="AD274" s="2">
        <v>149</v>
      </c>
      <c r="AE274" s="2">
        <v>153.9</v>
      </c>
      <c r="AG274" s="20">
        <f t="shared" si="16"/>
        <v>153.47692307692307</v>
      </c>
      <c r="AH274" s="2">
        <v>182.6</v>
      </c>
      <c r="AI274" s="20">
        <f t="shared" si="17"/>
        <v>148.96666666666667</v>
      </c>
      <c r="AJ274" s="20">
        <f t="shared" si="18"/>
        <v>149.4</v>
      </c>
      <c r="AK274" s="20">
        <f t="shared" si="19"/>
        <v>150.21666666666667</v>
      </c>
    </row>
    <row r="275" spans="1:37" ht="26.5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146.9</v>
      </c>
      <c r="F275" s="2">
        <v>183.9</v>
      </c>
      <c r="G275" s="2">
        <v>149.5</v>
      </c>
      <c r="H275" s="2">
        <v>153.4</v>
      </c>
      <c r="I275" s="2">
        <v>140.4</v>
      </c>
      <c r="J275" s="2">
        <v>147</v>
      </c>
      <c r="K275" s="2">
        <v>178.8</v>
      </c>
      <c r="L275" s="2">
        <v>149.30000000000001</v>
      </c>
      <c r="M275" s="2">
        <v>115.1</v>
      </c>
      <c r="N275" s="2">
        <v>160</v>
      </c>
      <c r="O275" s="2">
        <v>145.4</v>
      </c>
      <c r="P275" s="2">
        <v>161.6</v>
      </c>
      <c r="Q275" s="2">
        <v>156.1</v>
      </c>
      <c r="R275" s="2">
        <v>182.9</v>
      </c>
      <c r="S275" s="2">
        <v>155.4</v>
      </c>
      <c r="T275" s="2">
        <v>149.9</v>
      </c>
      <c r="U275" s="2">
        <v>154.6</v>
      </c>
      <c r="V275" s="2">
        <f>VLOOKUP($A275,'Impute housing Missing Value'!$A$1:$C$125,3,0)</f>
        <v>156.30000000000001</v>
      </c>
      <c r="W275" s="2">
        <v>146.4</v>
      </c>
      <c r="X275" s="2">
        <v>151.6</v>
      </c>
      <c r="Y275" s="2">
        <v>159.1</v>
      </c>
      <c r="Z275" s="2">
        <v>144.6</v>
      </c>
      <c r="AA275" s="2">
        <v>152.80000000000001</v>
      </c>
      <c r="AB275" s="2">
        <v>161.1</v>
      </c>
      <c r="AC275" s="2">
        <v>157.4</v>
      </c>
      <c r="AD275" s="2">
        <v>153.69999999999999</v>
      </c>
      <c r="AE275" s="2">
        <v>155.4</v>
      </c>
      <c r="AG275" s="20">
        <f t="shared" si="16"/>
        <v>152.87692307692308</v>
      </c>
      <c r="AH275" s="2">
        <v>182.9</v>
      </c>
      <c r="AI275" s="20">
        <f t="shared" si="17"/>
        <v>151.43333333333337</v>
      </c>
      <c r="AJ275" s="20">
        <f t="shared" si="18"/>
        <v>153.29999999999998</v>
      </c>
      <c r="AK275" s="20">
        <f t="shared" si="19"/>
        <v>154.78333333333333</v>
      </c>
    </row>
    <row r="276" spans="1:37" ht="26.5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151.5</v>
      </c>
      <c r="F276" s="2">
        <v>193.1</v>
      </c>
      <c r="G276" s="2">
        <v>157.30000000000001</v>
      </c>
      <c r="H276" s="2">
        <v>153.9</v>
      </c>
      <c r="I276" s="2">
        <v>134.4</v>
      </c>
      <c r="J276" s="2">
        <v>155.4</v>
      </c>
      <c r="K276" s="2">
        <v>202</v>
      </c>
      <c r="L276" s="2">
        <v>150.80000000000001</v>
      </c>
      <c r="M276" s="2">
        <v>118.9</v>
      </c>
      <c r="N276" s="2">
        <v>160.9</v>
      </c>
      <c r="O276" s="2">
        <v>137.69999999999999</v>
      </c>
      <c r="P276" s="2">
        <v>164.4</v>
      </c>
      <c r="Q276" s="2">
        <v>161.30000000000001</v>
      </c>
      <c r="R276" s="2">
        <v>188.7</v>
      </c>
      <c r="S276" s="2">
        <v>150.19999999999999</v>
      </c>
      <c r="T276" s="2">
        <v>136.30000000000001</v>
      </c>
      <c r="U276" s="2">
        <v>148.1</v>
      </c>
      <c r="V276" s="2">
        <v>156.30000000000001</v>
      </c>
      <c r="W276" s="2">
        <v>137.19999999999999</v>
      </c>
      <c r="X276" s="2">
        <v>145.4</v>
      </c>
      <c r="Y276" s="2">
        <v>150</v>
      </c>
      <c r="Z276" s="2">
        <v>135.1</v>
      </c>
      <c r="AA276" s="2">
        <v>141.80000000000001</v>
      </c>
      <c r="AB276" s="2">
        <v>154.9</v>
      </c>
      <c r="AC276" s="2">
        <v>159.80000000000001</v>
      </c>
      <c r="AD276" s="2">
        <v>146</v>
      </c>
      <c r="AE276" s="2">
        <v>154</v>
      </c>
      <c r="AG276" s="20">
        <f t="shared" si="16"/>
        <v>157.04615384615386</v>
      </c>
      <c r="AH276" s="2">
        <v>188.7</v>
      </c>
      <c r="AI276" s="20">
        <f t="shared" si="17"/>
        <v>146.29999999999998</v>
      </c>
      <c r="AJ276" s="20">
        <f t="shared" si="18"/>
        <v>144.86666666666667</v>
      </c>
      <c r="AK276" s="20">
        <f t="shared" si="19"/>
        <v>147.93333333333337</v>
      </c>
    </row>
    <row r="277" spans="1:37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148.4</v>
      </c>
      <c r="F277" s="2">
        <v>187.1</v>
      </c>
      <c r="G277" s="2">
        <v>152.5</v>
      </c>
      <c r="H277" s="2">
        <v>153.6</v>
      </c>
      <c r="I277" s="2">
        <v>138.19999999999999</v>
      </c>
      <c r="J277" s="2">
        <v>150.9</v>
      </c>
      <c r="K277" s="2">
        <v>186.7</v>
      </c>
      <c r="L277" s="2">
        <v>149.80000000000001</v>
      </c>
      <c r="M277" s="2">
        <v>116.4</v>
      </c>
      <c r="N277" s="2">
        <v>160.30000000000001</v>
      </c>
      <c r="O277" s="2">
        <v>142.19999999999999</v>
      </c>
      <c r="P277" s="2">
        <v>162.9</v>
      </c>
      <c r="Q277" s="2">
        <v>158</v>
      </c>
      <c r="R277" s="2">
        <v>184.4</v>
      </c>
      <c r="S277" s="2">
        <v>153.4</v>
      </c>
      <c r="T277" s="2">
        <v>144.30000000000001</v>
      </c>
      <c r="U277" s="2">
        <v>152</v>
      </c>
      <c r="V277" s="2">
        <v>156.30000000000001</v>
      </c>
      <c r="W277" s="2">
        <v>142.9</v>
      </c>
      <c r="X277" s="2">
        <v>148.69999999999999</v>
      </c>
      <c r="Y277" s="2">
        <v>155.6</v>
      </c>
      <c r="Z277" s="2">
        <v>139.6</v>
      </c>
      <c r="AA277" s="2">
        <v>146.6</v>
      </c>
      <c r="AB277" s="2">
        <v>157.5</v>
      </c>
      <c r="AC277" s="2">
        <v>158.4</v>
      </c>
      <c r="AD277" s="2">
        <v>150</v>
      </c>
      <c r="AE277" s="2">
        <v>154.69999999999999</v>
      </c>
      <c r="AG277" s="20">
        <f t="shared" si="16"/>
        <v>154.38461538461539</v>
      </c>
      <c r="AH277" s="2">
        <v>184.4</v>
      </c>
      <c r="AI277" s="20">
        <f t="shared" si="17"/>
        <v>149.30000000000001</v>
      </c>
      <c r="AJ277" s="20">
        <f t="shared" si="18"/>
        <v>149.9</v>
      </c>
      <c r="AK277" s="20">
        <f t="shared" si="19"/>
        <v>151.28333333333333</v>
      </c>
    </row>
    <row r="278" spans="1:37" ht="15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146</v>
      </c>
      <c r="F278" s="2">
        <v>186.3</v>
      </c>
      <c r="G278" s="2">
        <v>159.19999999999999</v>
      </c>
      <c r="H278" s="2">
        <v>153.6</v>
      </c>
      <c r="I278" s="2">
        <v>142.6</v>
      </c>
      <c r="J278" s="2">
        <v>147.19999999999999</v>
      </c>
      <c r="K278" s="2">
        <v>200.6</v>
      </c>
      <c r="L278" s="2">
        <v>150.30000000000001</v>
      </c>
      <c r="M278" s="2">
        <v>115.3</v>
      </c>
      <c r="N278" s="2">
        <v>160.9</v>
      </c>
      <c r="O278" s="2">
        <v>147.4</v>
      </c>
      <c r="P278" s="2">
        <v>161.9</v>
      </c>
      <c r="Q278" s="2">
        <v>159.6</v>
      </c>
      <c r="R278" s="2">
        <v>182.7</v>
      </c>
      <c r="S278" s="2">
        <v>155.69999999999999</v>
      </c>
      <c r="T278" s="2">
        <v>150.6</v>
      </c>
      <c r="U278" s="2">
        <v>155</v>
      </c>
      <c r="V278" s="2">
        <f>VLOOKUP($A278,'Impute housing Missing Value'!$A$1:$C$125,3,0)</f>
        <v>156.5</v>
      </c>
      <c r="W278" s="2">
        <v>146.80000000000001</v>
      </c>
      <c r="X278" s="2">
        <v>152</v>
      </c>
      <c r="Y278" s="2">
        <v>159.5</v>
      </c>
      <c r="Z278" s="2">
        <v>146.4</v>
      </c>
      <c r="AA278" s="2">
        <v>152.4</v>
      </c>
      <c r="AB278" s="2">
        <v>162.5</v>
      </c>
      <c r="AC278" s="2">
        <v>156.19999999999999</v>
      </c>
      <c r="AD278" s="2">
        <v>154.30000000000001</v>
      </c>
      <c r="AE278" s="2">
        <v>157.5</v>
      </c>
      <c r="AG278" s="20">
        <f t="shared" si="16"/>
        <v>156.22307692307692</v>
      </c>
      <c r="AH278" s="2">
        <v>182.7</v>
      </c>
      <c r="AI278" s="20">
        <f t="shared" si="17"/>
        <v>151.76666666666668</v>
      </c>
      <c r="AJ278" s="20">
        <f t="shared" si="18"/>
        <v>153.76666666666665</v>
      </c>
      <c r="AK278" s="20">
        <f t="shared" si="19"/>
        <v>155.21666666666667</v>
      </c>
    </row>
    <row r="279" spans="1:37" ht="15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150.6</v>
      </c>
      <c r="F279" s="2">
        <v>193.7</v>
      </c>
      <c r="G279" s="2">
        <v>164.8</v>
      </c>
      <c r="H279" s="2">
        <v>153.69999999999999</v>
      </c>
      <c r="I279" s="2">
        <v>135.69999999999999</v>
      </c>
      <c r="J279" s="2">
        <v>155.69999999999999</v>
      </c>
      <c r="K279" s="2">
        <v>226</v>
      </c>
      <c r="L279" s="2">
        <v>152.19999999999999</v>
      </c>
      <c r="M279" s="2">
        <v>118.1</v>
      </c>
      <c r="N279" s="2">
        <v>161.30000000000001</v>
      </c>
      <c r="O279" s="2">
        <v>139.19999999999999</v>
      </c>
      <c r="P279" s="2">
        <v>164.8</v>
      </c>
      <c r="Q279" s="2">
        <v>164.4</v>
      </c>
      <c r="R279" s="2">
        <v>188.7</v>
      </c>
      <c r="S279" s="2">
        <v>150.5</v>
      </c>
      <c r="T279" s="2">
        <v>136.1</v>
      </c>
      <c r="U279" s="2">
        <v>148.30000000000001</v>
      </c>
      <c r="V279" s="2">
        <v>156.5</v>
      </c>
      <c r="W279" s="2">
        <v>137.1</v>
      </c>
      <c r="X279" s="2">
        <v>145.1</v>
      </c>
      <c r="Y279" s="2">
        <v>151</v>
      </c>
      <c r="Z279" s="2">
        <v>135.4</v>
      </c>
      <c r="AA279" s="2">
        <v>142</v>
      </c>
      <c r="AB279" s="2">
        <v>155.69999999999999</v>
      </c>
      <c r="AC279" s="2">
        <v>158.1</v>
      </c>
      <c r="AD279" s="2">
        <v>146.19999999999999</v>
      </c>
      <c r="AE279" s="2">
        <v>155.19999999999999</v>
      </c>
      <c r="AG279" s="20">
        <f t="shared" si="16"/>
        <v>160.01538461538459</v>
      </c>
      <c r="AH279" s="2">
        <v>188.7</v>
      </c>
      <c r="AI279" s="20">
        <f t="shared" si="17"/>
        <v>146.23333333333335</v>
      </c>
      <c r="AJ279" s="20">
        <f t="shared" si="18"/>
        <v>144.96666666666667</v>
      </c>
      <c r="AK279" s="20">
        <f t="shared" si="19"/>
        <v>148.06666666666663</v>
      </c>
    </row>
    <row r="280" spans="1:37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147.5</v>
      </c>
      <c r="F280" s="2">
        <v>188.9</v>
      </c>
      <c r="G280" s="2">
        <v>161.4</v>
      </c>
      <c r="H280" s="2">
        <v>153.6</v>
      </c>
      <c r="I280" s="2">
        <v>140.1</v>
      </c>
      <c r="J280" s="2">
        <v>151.19999999999999</v>
      </c>
      <c r="K280" s="2">
        <v>209.2</v>
      </c>
      <c r="L280" s="2">
        <v>150.9</v>
      </c>
      <c r="M280" s="2">
        <v>116.2</v>
      </c>
      <c r="N280" s="2">
        <v>161</v>
      </c>
      <c r="O280" s="2">
        <v>144</v>
      </c>
      <c r="P280" s="2">
        <v>163.19999999999999</v>
      </c>
      <c r="Q280" s="2">
        <v>161.4</v>
      </c>
      <c r="R280" s="2">
        <v>184.3</v>
      </c>
      <c r="S280" s="2">
        <v>153.69999999999999</v>
      </c>
      <c r="T280" s="2">
        <v>144.6</v>
      </c>
      <c r="U280" s="2">
        <v>152.30000000000001</v>
      </c>
      <c r="V280" s="2">
        <v>156.5</v>
      </c>
      <c r="W280" s="2">
        <v>143.1</v>
      </c>
      <c r="X280" s="2">
        <v>148.69999999999999</v>
      </c>
      <c r="Y280" s="2">
        <v>156.30000000000001</v>
      </c>
      <c r="Z280" s="2">
        <v>140.6</v>
      </c>
      <c r="AA280" s="2">
        <v>146.5</v>
      </c>
      <c r="AB280" s="2">
        <v>158.5</v>
      </c>
      <c r="AC280" s="2">
        <v>157</v>
      </c>
      <c r="AD280" s="2">
        <v>150.4</v>
      </c>
      <c r="AE280" s="2">
        <v>156.4</v>
      </c>
      <c r="AG280" s="20">
        <f t="shared" si="16"/>
        <v>157.5846153846154</v>
      </c>
      <c r="AH280" s="2">
        <v>184.3</v>
      </c>
      <c r="AI280" s="20">
        <f t="shared" si="17"/>
        <v>149.43333333333334</v>
      </c>
      <c r="AJ280" s="20">
        <f t="shared" si="18"/>
        <v>150.19999999999999</v>
      </c>
      <c r="AK280" s="20">
        <f t="shared" si="19"/>
        <v>151.54999999999998</v>
      </c>
    </row>
    <row r="281" spans="1:37" ht="26.5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145.4</v>
      </c>
      <c r="F281" s="2">
        <v>188.6</v>
      </c>
      <c r="G281" s="2">
        <v>171.6</v>
      </c>
      <c r="H281" s="2">
        <v>153.80000000000001</v>
      </c>
      <c r="I281" s="2">
        <v>145.4</v>
      </c>
      <c r="J281" s="2">
        <v>146.5</v>
      </c>
      <c r="K281" s="2">
        <v>222.2</v>
      </c>
      <c r="L281" s="2">
        <v>155.9</v>
      </c>
      <c r="M281" s="2">
        <v>114.9</v>
      </c>
      <c r="N281" s="2">
        <v>162</v>
      </c>
      <c r="O281" s="2">
        <v>150</v>
      </c>
      <c r="P281" s="2">
        <v>162.69999999999999</v>
      </c>
      <c r="Q281" s="2">
        <v>163.4</v>
      </c>
      <c r="R281" s="2">
        <v>183.4</v>
      </c>
      <c r="S281" s="2">
        <v>156.30000000000001</v>
      </c>
      <c r="T281" s="2">
        <v>151</v>
      </c>
      <c r="U281" s="2">
        <v>155.5</v>
      </c>
      <c r="V281" s="2">
        <f>VLOOKUP($A281,'Impute housing Missing Value'!$A$1:$C$125,3,0)</f>
        <v>158</v>
      </c>
      <c r="W281" s="2">
        <v>147.5</v>
      </c>
      <c r="X281" s="2">
        <v>152.80000000000001</v>
      </c>
      <c r="Y281" s="2">
        <v>160.4</v>
      </c>
      <c r="Z281" s="2">
        <v>146.1</v>
      </c>
      <c r="AA281" s="2">
        <v>153.6</v>
      </c>
      <c r="AB281" s="2">
        <v>161.6</v>
      </c>
      <c r="AC281" s="2">
        <v>156.19999999999999</v>
      </c>
      <c r="AD281" s="2">
        <v>154.5</v>
      </c>
      <c r="AE281" s="2">
        <v>159.80000000000001</v>
      </c>
      <c r="AG281" s="20">
        <f t="shared" si="16"/>
        <v>160.1846153846154</v>
      </c>
      <c r="AH281" s="2">
        <v>183.4</v>
      </c>
      <c r="AI281" s="20">
        <f t="shared" si="17"/>
        <v>152.76666666666668</v>
      </c>
      <c r="AJ281" s="20">
        <f t="shared" si="18"/>
        <v>154.26666666666668</v>
      </c>
      <c r="AK281" s="20">
        <f t="shared" si="19"/>
        <v>155.4</v>
      </c>
    </row>
    <row r="282" spans="1:37" ht="26.5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149.69999999999999</v>
      </c>
      <c r="F282" s="2">
        <v>195.5</v>
      </c>
      <c r="G282" s="2">
        <v>176.9</v>
      </c>
      <c r="H282" s="2">
        <v>153.9</v>
      </c>
      <c r="I282" s="2">
        <v>138</v>
      </c>
      <c r="J282" s="2">
        <v>150.5</v>
      </c>
      <c r="K282" s="2">
        <v>245.3</v>
      </c>
      <c r="L282" s="2">
        <v>158.69999999999999</v>
      </c>
      <c r="M282" s="2">
        <v>117.2</v>
      </c>
      <c r="N282" s="2">
        <v>161.4</v>
      </c>
      <c r="O282" s="2">
        <v>141.5</v>
      </c>
      <c r="P282" s="2">
        <v>165.1</v>
      </c>
      <c r="Q282" s="2">
        <v>167</v>
      </c>
      <c r="R282" s="2">
        <v>188.8</v>
      </c>
      <c r="S282" s="2">
        <v>151.1</v>
      </c>
      <c r="T282" s="2">
        <v>136.4</v>
      </c>
      <c r="U282" s="2">
        <v>148.80000000000001</v>
      </c>
      <c r="V282" s="2">
        <v>158</v>
      </c>
      <c r="W282" s="2">
        <v>137.30000000000001</v>
      </c>
      <c r="X282" s="2">
        <v>145.1</v>
      </c>
      <c r="Y282" s="2">
        <v>152</v>
      </c>
      <c r="Z282" s="2">
        <v>135.19999999999999</v>
      </c>
      <c r="AA282" s="2">
        <v>144.4</v>
      </c>
      <c r="AB282" s="2">
        <v>156.4</v>
      </c>
      <c r="AC282" s="2">
        <v>157.9</v>
      </c>
      <c r="AD282" s="2">
        <v>146.6</v>
      </c>
      <c r="AE282" s="2">
        <v>156.69999999999999</v>
      </c>
      <c r="AG282" s="20">
        <f t="shared" si="16"/>
        <v>163.1307692307692</v>
      </c>
      <c r="AH282" s="2">
        <v>188.8</v>
      </c>
      <c r="AI282" s="20">
        <f t="shared" si="17"/>
        <v>146.79999999999998</v>
      </c>
      <c r="AJ282" s="20">
        <f t="shared" si="18"/>
        <v>145.43333333333334</v>
      </c>
      <c r="AK282" s="20">
        <f t="shared" si="19"/>
        <v>148.75</v>
      </c>
    </row>
    <row r="283" spans="1:37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146.80000000000001</v>
      </c>
      <c r="F283" s="2">
        <v>191</v>
      </c>
      <c r="G283" s="2">
        <v>173.6</v>
      </c>
      <c r="H283" s="2">
        <v>153.80000000000001</v>
      </c>
      <c r="I283" s="2">
        <v>142.69999999999999</v>
      </c>
      <c r="J283" s="2">
        <v>148.4</v>
      </c>
      <c r="K283" s="2">
        <v>230</v>
      </c>
      <c r="L283" s="2">
        <v>156.80000000000001</v>
      </c>
      <c r="M283" s="2">
        <v>115.7</v>
      </c>
      <c r="N283" s="2">
        <v>161.80000000000001</v>
      </c>
      <c r="O283" s="2">
        <v>146.5</v>
      </c>
      <c r="P283" s="2">
        <v>163.80000000000001</v>
      </c>
      <c r="Q283" s="2">
        <v>164.7</v>
      </c>
      <c r="R283" s="2">
        <v>184.8</v>
      </c>
      <c r="S283" s="2">
        <v>154.30000000000001</v>
      </c>
      <c r="T283" s="2">
        <v>144.9</v>
      </c>
      <c r="U283" s="2">
        <v>152.80000000000001</v>
      </c>
      <c r="V283" s="2">
        <v>158</v>
      </c>
      <c r="W283" s="2">
        <v>143.6</v>
      </c>
      <c r="X283" s="2">
        <v>149.19999999999999</v>
      </c>
      <c r="Y283" s="2">
        <v>157.19999999999999</v>
      </c>
      <c r="Z283" s="2">
        <v>140.4</v>
      </c>
      <c r="AA283" s="2">
        <v>148.4</v>
      </c>
      <c r="AB283" s="2">
        <v>158.6</v>
      </c>
      <c r="AC283" s="2">
        <v>156.9</v>
      </c>
      <c r="AD283" s="2">
        <v>150.69999999999999</v>
      </c>
      <c r="AE283" s="2">
        <v>158.4</v>
      </c>
      <c r="AG283" s="20">
        <f t="shared" si="16"/>
        <v>161.19999999999999</v>
      </c>
      <c r="AH283" s="2">
        <v>184.8</v>
      </c>
      <c r="AI283" s="20">
        <f t="shared" si="17"/>
        <v>150.26666666666668</v>
      </c>
      <c r="AJ283" s="20">
        <f t="shared" si="18"/>
        <v>150.66666666666669</v>
      </c>
      <c r="AK283" s="20">
        <f t="shared" si="19"/>
        <v>152.03333333333333</v>
      </c>
    </row>
    <row r="284" spans="1:37" ht="26.5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144.6</v>
      </c>
      <c r="F284" s="2">
        <v>188.5</v>
      </c>
      <c r="G284" s="2">
        <v>173.4</v>
      </c>
      <c r="H284" s="2">
        <v>154</v>
      </c>
      <c r="I284" s="2">
        <v>150</v>
      </c>
      <c r="J284" s="2">
        <v>145.9</v>
      </c>
      <c r="K284" s="2">
        <v>225.2</v>
      </c>
      <c r="L284" s="2">
        <v>159.5</v>
      </c>
      <c r="M284" s="2">
        <v>114.4</v>
      </c>
      <c r="N284" s="2">
        <v>163.5</v>
      </c>
      <c r="O284" s="2">
        <v>153.4</v>
      </c>
      <c r="P284" s="2">
        <v>163.6</v>
      </c>
      <c r="Q284" s="2">
        <v>164.5</v>
      </c>
      <c r="R284" s="2">
        <v>183.6</v>
      </c>
      <c r="S284" s="2">
        <v>157</v>
      </c>
      <c r="T284" s="2">
        <v>151.6</v>
      </c>
      <c r="U284" s="2">
        <v>156.30000000000001</v>
      </c>
      <c r="V284" s="2">
        <f>VLOOKUP($A284,'Impute housing Missing Value'!$A$1:$C$125,3,0)</f>
        <v>158.4</v>
      </c>
      <c r="W284" s="2">
        <v>148.69999999999999</v>
      </c>
      <c r="X284" s="2">
        <v>153.4</v>
      </c>
      <c r="Y284" s="2">
        <v>161.6</v>
      </c>
      <c r="Z284" s="2">
        <v>146.4</v>
      </c>
      <c r="AA284" s="2">
        <v>153.9</v>
      </c>
      <c r="AB284" s="2">
        <v>162.9</v>
      </c>
      <c r="AC284" s="2">
        <v>156.6</v>
      </c>
      <c r="AD284" s="2">
        <v>155.19999999999999</v>
      </c>
      <c r="AE284" s="2">
        <v>160.69999999999999</v>
      </c>
      <c r="AG284" s="20">
        <f t="shared" si="16"/>
        <v>161.57692307692307</v>
      </c>
      <c r="AH284" s="2">
        <v>183.6</v>
      </c>
      <c r="AI284" s="20">
        <f t="shared" si="17"/>
        <v>153.5</v>
      </c>
      <c r="AJ284" s="20">
        <f t="shared" si="18"/>
        <v>154.96666666666667</v>
      </c>
      <c r="AK284" s="20">
        <f t="shared" si="19"/>
        <v>156.1</v>
      </c>
    </row>
    <row r="285" spans="1:37" ht="26.5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149</v>
      </c>
      <c r="F285" s="2">
        <v>195.7</v>
      </c>
      <c r="G285" s="2">
        <v>178.3</v>
      </c>
      <c r="H285" s="2">
        <v>154.19999999999999</v>
      </c>
      <c r="I285" s="2">
        <v>140.69999999999999</v>
      </c>
      <c r="J285" s="2">
        <v>149.69999999999999</v>
      </c>
      <c r="K285" s="2">
        <v>240.9</v>
      </c>
      <c r="L285" s="2">
        <v>161.5</v>
      </c>
      <c r="M285" s="2">
        <v>117.1</v>
      </c>
      <c r="N285" s="2">
        <v>161.9</v>
      </c>
      <c r="O285" s="2">
        <v>143.30000000000001</v>
      </c>
      <c r="P285" s="2">
        <v>166.1</v>
      </c>
      <c r="Q285" s="2">
        <v>167</v>
      </c>
      <c r="R285" s="2">
        <v>190.2</v>
      </c>
      <c r="S285" s="2">
        <v>151.9</v>
      </c>
      <c r="T285" s="2">
        <v>136.69999999999999</v>
      </c>
      <c r="U285" s="2">
        <v>149.6</v>
      </c>
      <c r="V285" s="2">
        <v>158.4</v>
      </c>
      <c r="W285" s="2">
        <v>137.9</v>
      </c>
      <c r="X285" s="2">
        <v>145.5</v>
      </c>
      <c r="Y285" s="2">
        <v>152.9</v>
      </c>
      <c r="Z285" s="2">
        <v>135.5</v>
      </c>
      <c r="AA285" s="2">
        <v>144.30000000000001</v>
      </c>
      <c r="AB285" s="2">
        <v>156.9</v>
      </c>
      <c r="AC285" s="2">
        <v>157.9</v>
      </c>
      <c r="AD285" s="2">
        <v>146.9</v>
      </c>
      <c r="AE285" s="2">
        <v>156.9</v>
      </c>
      <c r="AG285" s="20">
        <f t="shared" si="16"/>
        <v>163.49230769230769</v>
      </c>
      <c r="AH285" s="2">
        <v>190.2</v>
      </c>
      <c r="AI285" s="20">
        <f t="shared" si="17"/>
        <v>147.26666666666668</v>
      </c>
      <c r="AJ285" s="20">
        <f t="shared" si="18"/>
        <v>146.06666666666669</v>
      </c>
      <c r="AK285" s="20">
        <f t="shared" si="19"/>
        <v>149.06666666666666</v>
      </c>
    </row>
    <row r="286" spans="1:37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146</v>
      </c>
      <c r="F286" s="2">
        <v>191</v>
      </c>
      <c r="G286" s="2">
        <v>175.3</v>
      </c>
      <c r="H286" s="2">
        <v>154.1</v>
      </c>
      <c r="I286" s="2">
        <v>146.6</v>
      </c>
      <c r="J286" s="2">
        <v>147.69999999999999</v>
      </c>
      <c r="K286" s="2">
        <v>230.5</v>
      </c>
      <c r="L286" s="2">
        <v>160.19999999999999</v>
      </c>
      <c r="M286" s="2">
        <v>115.3</v>
      </c>
      <c r="N286" s="2">
        <v>163</v>
      </c>
      <c r="O286" s="2">
        <v>149.19999999999999</v>
      </c>
      <c r="P286" s="2">
        <v>164.8</v>
      </c>
      <c r="Q286" s="2">
        <v>165.4</v>
      </c>
      <c r="R286" s="2">
        <v>185.4</v>
      </c>
      <c r="S286" s="2">
        <v>155</v>
      </c>
      <c r="T286" s="2">
        <v>145.4</v>
      </c>
      <c r="U286" s="2">
        <v>153.6</v>
      </c>
      <c r="V286" s="2">
        <v>158.4</v>
      </c>
      <c r="W286" s="2">
        <v>144.6</v>
      </c>
      <c r="X286" s="2">
        <v>149.69999999999999</v>
      </c>
      <c r="Y286" s="2">
        <v>158.30000000000001</v>
      </c>
      <c r="Z286" s="2">
        <v>140.69999999999999</v>
      </c>
      <c r="AA286" s="2">
        <v>148.5</v>
      </c>
      <c r="AB286" s="2">
        <v>159.4</v>
      </c>
      <c r="AC286" s="2">
        <v>157.1</v>
      </c>
      <c r="AD286" s="2">
        <v>151.19999999999999</v>
      </c>
      <c r="AE286" s="2">
        <v>158.9</v>
      </c>
      <c r="AG286" s="20">
        <f t="shared" si="16"/>
        <v>162.23846153846154</v>
      </c>
      <c r="AH286" s="2">
        <v>185.4</v>
      </c>
      <c r="AI286" s="20">
        <f t="shared" si="17"/>
        <v>150.9</v>
      </c>
      <c r="AJ286" s="20">
        <f t="shared" si="18"/>
        <v>151.33333333333334</v>
      </c>
      <c r="AK286" s="20">
        <f t="shared" si="19"/>
        <v>152.53333333333333</v>
      </c>
    </row>
    <row r="287" spans="1:37" ht="15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143.4</v>
      </c>
      <c r="F287" s="2">
        <v>187.5</v>
      </c>
      <c r="G287" s="2">
        <v>173.4</v>
      </c>
      <c r="H287" s="2">
        <v>154</v>
      </c>
      <c r="I287" s="2">
        <v>154.80000000000001</v>
      </c>
      <c r="J287" s="2">
        <v>147</v>
      </c>
      <c r="K287" s="2">
        <v>187.8</v>
      </c>
      <c r="L287" s="2">
        <v>159.5</v>
      </c>
      <c r="M287" s="2">
        <v>113.8</v>
      </c>
      <c r="N287" s="2">
        <v>164.5</v>
      </c>
      <c r="O287" s="2">
        <v>156.1</v>
      </c>
      <c r="P287" s="2">
        <v>164.3</v>
      </c>
      <c r="Q287" s="2">
        <v>159.6</v>
      </c>
      <c r="R287" s="2">
        <v>184.6</v>
      </c>
      <c r="S287" s="2">
        <v>157.5</v>
      </c>
      <c r="T287" s="2">
        <v>152.4</v>
      </c>
      <c r="U287" s="2">
        <v>156.80000000000001</v>
      </c>
      <c r="V287" s="2">
        <f>VLOOKUP($A287,'Impute housing Missing Value'!$A$1:$C$125,3,0)</f>
        <v>157.69999999999999</v>
      </c>
      <c r="W287" s="2">
        <v>150.9</v>
      </c>
      <c r="X287" s="2">
        <v>153.9</v>
      </c>
      <c r="Y287" s="2">
        <v>162.5</v>
      </c>
      <c r="Z287" s="2">
        <v>147.5</v>
      </c>
      <c r="AA287" s="2">
        <v>155.1</v>
      </c>
      <c r="AB287" s="2">
        <v>163.5</v>
      </c>
      <c r="AC287" s="2">
        <v>156.19999999999999</v>
      </c>
      <c r="AD287" s="2">
        <v>155.9</v>
      </c>
      <c r="AE287" s="2">
        <v>158.5</v>
      </c>
      <c r="AG287" s="20">
        <f t="shared" si="16"/>
        <v>158.89999999999998</v>
      </c>
      <c r="AH287" s="2">
        <v>184.6</v>
      </c>
      <c r="AI287" s="20">
        <f t="shared" si="17"/>
        <v>154.16666666666666</v>
      </c>
      <c r="AJ287" s="20">
        <f t="shared" si="18"/>
        <v>155.56666666666666</v>
      </c>
      <c r="AK287" s="20">
        <f t="shared" si="19"/>
        <v>156.78333333333333</v>
      </c>
    </row>
    <row r="288" spans="1:37" ht="15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148</v>
      </c>
      <c r="F288" s="2">
        <v>194.8</v>
      </c>
      <c r="G288" s="2">
        <v>178.4</v>
      </c>
      <c r="H288" s="2">
        <v>154.4</v>
      </c>
      <c r="I288" s="2">
        <v>144.1</v>
      </c>
      <c r="J288" s="2">
        <v>152.6</v>
      </c>
      <c r="K288" s="2">
        <v>206.8</v>
      </c>
      <c r="L288" s="2">
        <v>162.1</v>
      </c>
      <c r="M288" s="2">
        <v>116.3</v>
      </c>
      <c r="N288" s="2">
        <v>163</v>
      </c>
      <c r="O288" s="2">
        <v>145.9</v>
      </c>
      <c r="P288" s="2">
        <v>167.2</v>
      </c>
      <c r="Q288" s="2">
        <v>163.4</v>
      </c>
      <c r="R288" s="2">
        <v>191.8</v>
      </c>
      <c r="S288" s="2">
        <v>152.5</v>
      </c>
      <c r="T288" s="2">
        <v>137.30000000000001</v>
      </c>
      <c r="U288" s="2">
        <v>150.19999999999999</v>
      </c>
      <c r="V288" s="2">
        <v>157.69999999999999</v>
      </c>
      <c r="W288" s="2">
        <v>142.9</v>
      </c>
      <c r="X288" s="2">
        <v>145.69999999999999</v>
      </c>
      <c r="Y288" s="2">
        <v>154.1</v>
      </c>
      <c r="Z288" s="2">
        <v>136.9</v>
      </c>
      <c r="AA288" s="2">
        <v>145.4</v>
      </c>
      <c r="AB288" s="2">
        <v>156.1</v>
      </c>
      <c r="AC288" s="2">
        <v>157.69999999999999</v>
      </c>
      <c r="AD288" s="2">
        <v>147.6</v>
      </c>
      <c r="AE288" s="2">
        <v>156</v>
      </c>
      <c r="AG288" s="20">
        <f t="shared" si="16"/>
        <v>161.30769230769232</v>
      </c>
      <c r="AH288" s="2">
        <v>191.8</v>
      </c>
      <c r="AI288" s="20">
        <f t="shared" si="17"/>
        <v>148.76666666666668</v>
      </c>
      <c r="AJ288" s="20">
        <f t="shared" si="18"/>
        <v>146.66666666666666</v>
      </c>
      <c r="AK288" s="20">
        <f t="shared" si="19"/>
        <v>149.63333333333335</v>
      </c>
    </row>
    <row r="289" spans="1:37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144.9</v>
      </c>
      <c r="F289" s="2">
        <v>190.1</v>
      </c>
      <c r="G289" s="2">
        <v>175.3</v>
      </c>
      <c r="H289" s="2">
        <v>154.1</v>
      </c>
      <c r="I289" s="2">
        <v>150.9</v>
      </c>
      <c r="J289" s="2">
        <v>149.6</v>
      </c>
      <c r="K289" s="2">
        <v>194.2</v>
      </c>
      <c r="L289" s="2">
        <v>160.4</v>
      </c>
      <c r="M289" s="2">
        <v>114.6</v>
      </c>
      <c r="N289" s="2">
        <v>164</v>
      </c>
      <c r="O289" s="2">
        <v>151.80000000000001</v>
      </c>
      <c r="P289" s="2">
        <v>165.6</v>
      </c>
      <c r="Q289" s="2">
        <v>161</v>
      </c>
      <c r="R289" s="2">
        <v>186.5</v>
      </c>
      <c r="S289" s="2">
        <v>155.5</v>
      </c>
      <c r="T289" s="2">
        <v>146.1</v>
      </c>
      <c r="U289" s="2">
        <v>154.19999999999999</v>
      </c>
      <c r="V289" s="2">
        <v>157.69999999999999</v>
      </c>
      <c r="W289" s="2">
        <v>147.9</v>
      </c>
      <c r="X289" s="2">
        <v>150</v>
      </c>
      <c r="Y289" s="2">
        <v>159.30000000000001</v>
      </c>
      <c r="Z289" s="2">
        <v>141.9</v>
      </c>
      <c r="AA289" s="2">
        <v>149.6</v>
      </c>
      <c r="AB289" s="2">
        <v>159.19999999999999</v>
      </c>
      <c r="AC289" s="2">
        <v>156.80000000000001</v>
      </c>
      <c r="AD289" s="2">
        <v>151.9</v>
      </c>
      <c r="AE289" s="2">
        <v>157.30000000000001</v>
      </c>
      <c r="AG289" s="20">
        <f t="shared" si="16"/>
        <v>159.73076923076923</v>
      </c>
      <c r="AH289" s="2">
        <v>186.5</v>
      </c>
      <c r="AI289" s="20">
        <f t="shared" si="17"/>
        <v>151.86666666666667</v>
      </c>
      <c r="AJ289" s="20">
        <f t="shared" si="18"/>
        <v>151.93333333333334</v>
      </c>
      <c r="AK289" s="20">
        <f t="shared" si="19"/>
        <v>153.11666666666665</v>
      </c>
    </row>
    <row r="290" spans="1:37" ht="15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142.80000000000001</v>
      </c>
      <c r="F290" s="2">
        <v>184</v>
      </c>
      <c r="G290" s="2">
        <v>168</v>
      </c>
      <c r="H290" s="2">
        <v>154.4</v>
      </c>
      <c r="I290" s="2">
        <v>163</v>
      </c>
      <c r="J290" s="2">
        <v>147.80000000000001</v>
      </c>
      <c r="K290" s="2">
        <v>149.69999999999999</v>
      </c>
      <c r="L290" s="2">
        <v>158.30000000000001</v>
      </c>
      <c r="M290" s="2">
        <v>111.8</v>
      </c>
      <c r="N290" s="2">
        <v>165</v>
      </c>
      <c r="O290" s="2">
        <v>160</v>
      </c>
      <c r="P290" s="2">
        <v>165.8</v>
      </c>
      <c r="Q290" s="2">
        <v>154.69999999999999</v>
      </c>
      <c r="R290" s="2">
        <v>186.5</v>
      </c>
      <c r="S290" s="2">
        <v>159.1</v>
      </c>
      <c r="T290" s="2">
        <v>153.9</v>
      </c>
      <c r="U290" s="2">
        <v>158.4</v>
      </c>
      <c r="V290" s="2">
        <f>VLOOKUP($A290,'Impute housing Missing Value'!$A$1:$C$125,3,0)</f>
        <v>159.80000000000001</v>
      </c>
      <c r="W290" s="2">
        <v>154.4</v>
      </c>
      <c r="X290" s="2">
        <v>154.80000000000001</v>
      </c>
      <c r="Y290" s="2">
        <v>164.3</v>
      </c>
      <c r="Z290" s="2">
        <v>150.19999999999999</v>
      </c>
      <c r="AA290" s="2">
        <v>157</v>
      </c>
      <c r="AB290" s="2">
        <v>163.6</v>
      </c>
      <c r="AC290" s="2">
        <v>155.19999999999999</v>
      </c>
      <c r="AD290" s="2">
        <v>157.19999999999999</v>
      </c>
      <c r="AE290" s="2">
        <v>156.69999999999999</v>
      </c>
      <c r="AG290" s="20">
        <f t="shared" si="16"/>
        <v>155.7923076923077</v>
      </c>
      <c r="AH290" s="2">
        <v>186.5</v>
      </c>
      <c r="AI290" s="20">
        <f t="shared" si="17"/>
        <v>156.33333333333334</v>
      </c>
      <c r="AJ290" s="20">
        <f t="shared" si="18"/>
        <v>157.13333333333333</v>
      </c>
      <c r="AK290" s="20">
        <f t="shared" si="19"/>
        <v>157.91666666666666</v>
      </c>
    </row>
    <row r="291" spans="1:37" ht="15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147.6</v>
      </c>
      <c r="F291" s="2">
        <v>191.2</v>
      </c>
      <c r="G291" s="2">
        <v>169.9</v>
      </c>
      <c r="H291" s="2">
        <v>155.1</v>
      </c>
      <c r="I291" s="2">
        <v>151.4</v>
      </c>
      <c r="J291" s="2">
        <v>154</v>
      </c>
      <c r="K291" s="2">
        <v>180.2</v>
      </c>
      <c r="L291" s="2">
        <v>159.80000000000001</v>
      </c>
      <c r="M291" s="2">
        <v>114.9</v>
      </c>
      <c r="N291" s="2">
        <v>162.5</v>
      </c>
      <c r="O291" s="2">
        <v>149.19999999999999</v>
      </c>
      <c r="P291" s="2">
        <v>169.4</v>
      </c>
      <c r="Q291" s="2">
        <v>160.80000000000001</v>
      </c>
      <c r="R291" s="2">
        <v>193.3</v>
      </c>
      <c r="S291" s="2">
        <v>154.19999999999999</v>
      </c>
      <c r="T291" s="2">
        <v>138.19999999999999</v>
      </c>
      <c r="U291" s="2">
        <v>151.80000000000001</v>
      </c>
      <c r="V291" s="2">
        <v>159.80000000000001</v>
      </c>
      <c r="W291" s="2">
        <v>149.1</v>
      </c>
      <c r="X291" s="2">
        <v>146.5</v>
      </c>
      <c r="Y291" s="2">
        <v>156.30000000000001</v>
      </c>
      <c r="Z291" s="2">
        <v>140.5</v>
      </c>
      <c r="AA291" s="2">
        <v>147.30000000000001</v>
      </c>
      <c r="AB291" s="2">
        <v>156.6</v>
      </c>
      <c r="AC291" s="2">
        <v>156.69999999999999</v>
      </c>
      <c r="AD291" s="2">
        <v>149.30000000000001</v>
      </c>
      <c r="AE291" s="2">
        <v>156.5</v>
      </c>
      <c r="AG291" s="20">
        <f t="shared" si="16"/>
        <v>158.92307692307693</v>
      </c>
      <c r="AH291" s="2">
        <v>193.3</v>
      </c>
      <c r="AI291" s="20">
        <f t="shared" si="17"/>
        <v>151.79999999999998</v>
      </c>
      <c r="AJ291" s="20">
        <f t="shared" si="18"/>
        <v>148.06666666666666</v>
      </c>
      <c r="AK291" s="20">
        <f t="shared" si="19"/>
        <v>151.11666666666667</v>
      </c>
    </row>
    <row r="292" spans="1:37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144.30000000000001</v>
      </c>
      <c r="F292" s="2">
        <v>186.5</v>
      </c>
      <c r="G292" s="2">
        <v>168.7</v>
      </c>
      <c r="H292" s="2">
        <v>154.69999999999999</v>
      </c>
      <c r="I292" s="2">
        <v>158.69999999999999</v>
      </c>
      <c r="J292" s="2">
        <v>150.69999999999999</v>
      </c>
      <c r="K292" s="2">
        <v>160</v>
      </c>
      <c r="L292" s="2">
        <v>158.80000000000001</v>
      </c>
      <c r="M292" s="2">
        <v>112.8</v>
      </c>
      <c r="N292" s="2">
        <v>164.2</v>
      </c>
      <c r="O292" s="2">
        <v>155.5</v>
      </c>
      <c r="P292" s="2">
        <v>167.5</v>
      </c>
      <c r="Q292" s="2">
        <v>156.9</v>
      </c>
      <c r="R292" s="2">
        <v>188.3</v>
      </c>
      <c r="S292" s="2">
        <v>157.19999999999999</v>
      </c>
      <c r="T292" s="2">
        <v>147.4</v>
      </c>
      <c r="U292" s="2">
        <v>155.80000000000001</v>
      </c>
      <c r="V292" s="2">
        <v>159.80000000000001</v>
      </c>
      <c r="W292" s="2">
        <v>152.4</v>
      </c>
      <c r="X292" s="2">
        <v>150.9</v>
      </c>
      <c r="Y292" s="2">
        <v>161.30000000000001</v>
      </c>
      <c r="Z292" s="2">
        <v>145.1</v>
      </c>
      <c r="AA292" s="2">
        <v>151.5</v>
      </c>
      <c r="AB292" s="2">
        <v>159.5</v>
      </c>
      <c r="AC292" s="2">
        <v>155.80000000000001</v>
      </c>
      <c r="AD292" s="2">
        <v>153.4</v>
      </c>
      <c r="AE292" s="2">
        <v>156.6</v>
      </c>
      <c r="AG292" s="20">
        <f t="shared" si="16"/>
        <v>156.8692307692308</v>
      </c>
      <c r="AH292" s="2">
        <v>188.3</v>
      </c>
      <c r="AI292" s="20">
        <f t="shared" si="17"/>
        <v>154.36666666666667</v>
      </c>
      <c r="AJ292" s="20">
        <f t="shared" si="18"/>
        <v>153.46666666666667</v>
      </c>
      <c r="AK292" s="20">
        <f t="shared" si="19"/>
        <v>154.43333333333334</v>
      </c>
    </row>
    <row r="293" spans="1:37" ht="15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142.5</v>
      </c>
      <c r="F293" s="2">
        <v>189.4</v>
      </c>
      <c r="G293" s="2">
        <v>163.19999999999999</v>
      </c>
      <c r="H293" s="2">
        <v>154.5</v>
      </c>
      <c r="I293" s="2">
        <v>168.2</v>
      </c>
      <c r="J293" s="2">
        <v>150.5</v>
      </c>
      <c r="K293" s="2">
        <v>141</v>
      </c>
      <c r="L293" s="2">
        <v>159.19999999999999</v>
      </c>
      <c r="M293" s="2">
        <v>111.7</v>
      </c>
      <c r="N293" s="2">
        <v>164</v>
      </c>
      <c r="O293" s="2">
        <v>160.6</v>
      </c>
      <c r="P293" s="2">
        <v>166.4</v>
      </c>
      <c r="Q293" s="2">
        <v>154.5</v>
      </c>
      <c r="R293" s="2">
        <v>186.1</v>
      </c>
      <c r="S293" s="2">
        <v>159.6</v>
      </c>
      <c r="T293" s="2">
        <v>154.4</v>
      </c>
      <c r="U293" s="2">
        <v>158.9</v>
      </c>
      <c r="V293" s="2">
        <f>VLOOKUP($A293,'Impute housing Missing Value'!$A$1:$C$125,3,0)</f>
        <v>159.9</v>
      </c>
      <c r="W293" s="2">
        <v>156</v>
      </c>
      <c r="X293" s="2">
        <v>154.80000000000001</v>
      </c>
      <c r="Y293" s="2">
        <v>164.6</v>
      </c>
      <c r="Z293" s="2">
        <v>151.30000000000001</v>
      </c>
      <c r="AA293" s="2">
        <v>157.80000000000001</v>
      </c>
      <c r="AB293" s="2">
        <v>163.80000000000001</v>
      </c>
      <c r="AC293" s="2">
        <v>153.1</v>
      </c>
      <c r="AD293" s="2">
        <v>157.30000000000001</v>
      </c>
      <c r="AE293" s="2">
        <v>156.69999999999999</v>
      </c>
      <c r="AG293" s="20">
        <f t="shared" si="16"/>
        <v>155.82307692307694</v>
      </c>
      <c r="AH293" s="2">
        <v>186.1</v>
      </c>
      <c r="AI293" s="20">
        <f t="shared" si="17"/>
        <v>156.9</v>
      </c>
      <c r="AJ293" s="20">
        <f t="shared" si="18"/>
        <v>157.63333333333333</v>
      </c>
      <c r="AK293" s="20">
        <f t="shared" si="19"/>
        <v>157.98333333333335</v>
      </c>
    </row>
    <row r="294" spans="1:37" ht="15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147.5</v>
      </c>
      <c r="F294" s="2">
        <v>197.5</v>
      </c>
      <c r="G294" s="2">
        <v>164.7</v>
      </c>
      <c r="H294" s="2">
        <v>155.6</v>
      </c>
      <c r="I294" s="2">
        <v>156.4</v>
      </c>
      <c r="J294" s="2">
        <v>157.30000000000001</v>
      </c>
      <c r="K294" s="2">
        <v>166.1</v>
      </c>
      <c r="L294" s="2">
        <v>161.1</v>
      </c>
      <c r="M294" s="2">
        <v>114.3</v>
      </c>
      <c r="N294" s="2">
        <v>162.6</v>
      </c>
      <c r="O294" s="2">
        <v>150.69999999999999</v>
      </c>
      <c r="P294" s="2">
        <v>170.3</v>
      </c>
      <c r="Q294" s="2">
        <v>160.4</v>
      </c>
      <c r="R294" s="2">
        <v>193.5</v>
      </c>
      <c r="S294" s="2">
        <v>155.1</v>
      </c>
      <c r="T294" s="2">
        <v>138.69999999999999</v>
      </c>
      <c r="U294" s="2">
        <v>152.6</v>
      </c>
      <c r="V294" s="2">
        <v>159.9</v>
      </c>
      <c r="W294" s="2">
        <v>154.80000000000001</v>
      </c>
      <c r="X294" s="2">
        <v>147.19999999999999</v>
      </c>
      <c r="Y294" s="2">
        <v>156.9</v>
      </c>
      <c r="Z294" s="2">
        <v>141.69999999999999</v>
      </c>
      <c r="AA294" s="2">
        <v>148.6</v>
      </c>
      <c r="AB294" s="2">
        <v>157.6</v>
      </c>
      <c r="AC294" s="2">
        <v>154.9</v>
      </c>
      <c r="AD294" s="2">
        <v>150</v>
      </c>
      <c r="AE294" s="2">
        <v>156.9</v>
      </c>
      <c r="AG294" s="20">
        <f t="shared" si="16"/>
        <v>158.80769230769226</v>
      </c>
      <c r="AH294" s="2">
        <v>193.5</v>
      </c>
      <c r="AI294" s="20">
        <f t="shared" si="17"/>
        <v>153.96666666666667</v>
      </c>
      <c r="AJ294" s="20">
        <f t="shared" si="18"/>
        <v>148.79999999999998</v>
      </c>
      <c r="AK294" s="20">
        <f t="shared" si="19"/>
        <v>151.61666666666667</v>
      </c>
    </row>
    <row r="295" spans="1:37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144.1</v>
      </c>
      <c r="F295" s="2">
        <v>192.2</v>
      </c>
      <c r="G295" s="2">
        <v>163.80000000000001</v>
      </c>
      <c r="H295" s="2">
        <v>154.9</v>
      </c>
      <c r="I295" s="2">
        <v>163.9</v>
      </c>
      <c r="J295" s="2">
        <v>153.69999999999999</v>
      </c>
      <c r="K295" s="2">
        <v>149.5</v>
      </c>
      <c r="L295" s="2">
        <v>159.80000000000001</v>
      </c>
      <c r="M295" s="2">
        <v>112.6</v>
      </c>
      <c r="N295" s="2">
        <v>163.5</v>
      </c>
      <c r="O295" s="2">
        <v>156.5</v>
      </c>
      <c r="P295" s="2">
        <v>168.2</v>
      </c>
      <c r="Q295" s="2">
        <v>156.69999999999999</v>
      </c>
      <c r="R295" s="2">
        <v>188.1</v>
      </c>
      <c r="S295" s="2">
        <v>157.80000000000001</v>
      </c>
      <c r="T295" s="2">
        <v>147.9</v>
      </c>
      <c r="U295" s="2">
        <v>156.4</v>
      </c>
      <c r="V295" s="2">
        <v>159.9</v>
      </c>
      <c r="W295" s="2">
        <v>155.5</v>
      </c>
      <c r="X295" s="2">
        <v>151.19999999999999</v>
      </c>
      <c r="Y295" s="2">
        <v>161.69999999999999</v>
      </c>
      <c r="Z295" s="2">
        <v>146.19999999999999</v>
      </c>
      <c r="AA295" s="2">
        <v>152.6</v>
      </c>
      <c r="AB295" s="2">
        <v>160.19999999999999</v>
      </c>
      <c r="AC295" s="2">
        <v>153.80000000000001</v>
      </c>
      <c r="AD295" s="2">
        <v>153.80000000000001</v>
      </c>
      <c r="AE295" s="2">
        <v>156.80000000000001</v>
      </c>
      <c r="AG295" s="20">
        <f t="shared" si="16"/>
        <v>156.87692307692308</v>
      </c>
      <c r="AH295" s="2">
        <v>188.1</v>
      </c>
      <c r="AI295" s="20">
        <f t="shared" si="17"/>
        <v>155.53333333333333</v>
      </c>
      <c r="AJ295" s="20">
        <f t="shared" si="18"/>
        <v>154.03333333333333</v>
      </c>
      <c r="AK295" s="20">
        <f t="shared" si="19"/>
        <v>154.71666666666667</v>
      </c>
    </row>
    <row r="296" spans="1:37" ht="15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142.69999999999999</v>
      </c>
      <c r="F296" s="2">
        <v>195.5</v>
      </c>
      <c r="G296" s="2">
        <v>163.4</v>
      </c>
      <c r="H296" s="2">
        <v>155</v>
      </c>
      <c r="I296" s="2">
        <v>175.2</v>
      </c>
      <c r="J296" s="2">
        <v>160.6</v>
      </c>
      <c r="K296" s="2">
        <v>135.1</v>
      </c>
      <c r="L296" s="2">
        <v>161.1</v>
      </c>
      <c r="M296" s="2">
        <v>112.2</v>
      </c>
      <c r="N296" s="2">
        <v>164.4</v>
      </c>
      <c r="O296" s="2">
        <v>161.9</v>
      </c>
      <c r="P296" s="2">
        <v>166.8</v>
      </c>
      <c r="Q296" s="2">
        <v>155.6</v>
      </c>
      <c r="R296" s="2">
        <v>186.8</v>
      </c>
      <c r="S296" s="2">
        <v>160.69999999999999</v>
      </c>
      <c r="T296" s="2">
        <v>155.1</v>
      </c>
      <c r="U296" s="2">
        <v>159.9</v>
      </c>
      <c r="V296" s="2">
        <f>VLOOKUP($A296,'Impute housing Missing Value'!$A$1:$C$125,3,0)</f>
        <v>161.4</v>
      </c>
      <c r="W296" s="2">
        <v>156</v>
      </c>
      <c r="X296" s="2">
        <v>155.5</v>
      </c>
      <c r="Y296" s="2">
        <v>165.3</v>
      </c>
      <c r="Z296" s="2">
        <v>151.69999999999999</v>
      </c>
      <c r="AA296" s="2">
        <v>158.6</v>
      </c>
      <c r="AB296" s="2">
        <v>164.1</v>
      </c>
      <c r="AC296" s="2">
        <v>154.6</v>
      </c>
      <c r="AD296" s="2">
        <v>158</v>
      </c>
      <c r="AE296" s="2">
        <v>157.6</v>
      </c>
      <c r="AG296" s="20">
        <f t="shared" si="16"/>
        <v>157.65384615384616</v>
      </c>
      <c r="AH296" s="2">
        <v>186.8</v>
      </c>
      <c r="AI296" s="20">
        <f t="shared" si="17"/>
        <v>157.63333333333333</v>
      </c>
      <c r="AJ296" s="20">
        <f t="shared" si="18"/>
        <v>158.56666666666663</v>
      </c>
      <c r="AK296" s="20">
        <f t="shared" si="19"/>
        <v>158.71666666666667</v>
      </c>
    </row>
    <row r="297" spans="1:37" ht="15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147.6</v>
      </c>
      <c r="F297" s="2">
        <v>202.5</v>
      </c>
      <c r="G297" s="2">
        <v>166.4</v>
      </c>
      <c r="H297" s="2">
        <v>156</v>
      </c>
      <c r="I297" s="2">
        <v>161.4</v>
      </c>
      <c r="J297" s="2">
        <v>168.8</v>
      </c>
      <c r="K297" s="2">
        <v>161.6</v>
      </c>
      <c r="L297" s="2">
        <v>162.80000000000001</v>
      </c>
      <c r="M297" s="2">
        <v>114.8</v>
      </c>
      <c r="N297" s="2">
        <v>162.80000000000001</v>
      </c>
      <c r="O297" s="2">
        <v>151.5</v>
      </c>
      <c r="P297" s="2">
        <v>171.4</v>
      </c>
      <c r="Q297" s="2">
        <v>162</v>
      </c>
      <c r="R297" s="2">
        <v>194.4</v>
      </c>
      <c r="S297" s="2">
        <v>155.9</v>
      </c>
      <c r="T297" s="2">
        <v>139.30000000000001</v>
      </c>
      <c r="U297" s="2">
        <v>153.4</v>
      </c>
      <c r="V297" s="2">
        <v>161.4</v>
      </c>
      <c r="W297" s="2">
        <v>154.9</v>
      </c>
      <c r="X297" s="2">
        <v>147.6</v>
      </c>
      <c r="Y297" s="2">
        <v>157.5</v>
      </c>
      <c r="Z297" s="2">
        <v>142.1</v>
      </c>
      <c r="AA297" s="2">
        <v>149.1</v>
      </c>
      <c r="AB297" s="2">
        <v>157.6</v>
      </c>
      <c r="AC297" s="2">
        <v>156.6</v>
      </c>
      <c r="AD297" s="2">
        <v>150.5</v>
      </c>
      <c r="AE297" s="2">
        <v>158</v>
      </c>
      <c r="AG297" s="20">
        <f t="shared" si="16"/>
        <v>160.73846153846154</v>
      </c>
      <c r="AH297" s="2">
        <v>194.4</v>
      </c>
      <c r="AI297" s="20">
        <f t="shared" si="17"/>
        <v>154.63333333333333</v>
      </c>
      <c r="AJ297" s="20">
        <f t="shared" si="18"/>
        <v>149.53333333333333</v>
      </c>
      <c r="AK297" s="20">
        <f t="shared" si="19"/>
        <v>152.23333333333335</v>
      </c>
    </row>
    <row r="298" spans="1:37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144.30000000000001</v>
      </c>
      <c r="F298" s="2">
        <v>198</v>
      </c>
      <c r="G298" s="2">
        <v>164.6</v>
      </c>
      <c r="H298" s="2">
        <v>155.4</v>
      </c>
      <c r="I298" s="2">
        <v>170.1</v>
      </c>
      <c r="J298" s="2">
        <v>164.4</v>
      </c>
      <c r="K298" s="2">
        <v>144.1</v>
      </c>
      <c r="L298" s="2">
        <v>161.69999999999999</v>
      </c>
      <c r="M298" s="2">
        <v>113.1</v>
      </c>
      <c r="N298" s="2">
        <v>163.9</v>
      </c>
      <c r="O298" s="2">
        <v>157.6</v>
      </c>
      <c r="P298" s="2">
        <v>168.9</v>
      </c>
      <c r="Q298" s="2">
        <v>158</v>
      </c>
      <c r="R298" s="2">
        <v>188.8</v>
      </c>
      <c r="S298" s="2">
        <v>158.80000000000001</v>
      </c>
      <c r="T298" s="2">
        <v>148.5</v>
      </c>
      <c r="U298" s="2">
        <v>157.30000000000001</v>
      </c>
      <c r="V298" s="2">
        <v>161.4</v>
      </c>
      <c r="W298" s="2">
        <v>155.6</v>
      </c>
      <c r="X298" s="2">
        <v>151.80000000000001</v>
      </c>
      <c r="Y298" s="2">
        <v>162.30000000000001</v>
      </c>
      <c r="Z298" s="2">
        <v>146.6</v>
      </c>
      <c r="AA298" s="2">
        <v>153.19999999999999</v>
      </c>
      <c r="AB298" s="2">
        <v>160.30000000000001</v>
      </c>
      <c r="AC298" s="2">
        <v>155.4</v>
      </c>
      <c r="AD298" s="2">
        <v>154.4</v>
      </c>
      <c r="AE298" s="2">
        <v>157.80000000000001</v>
      </c>
      <c r="AG298" s="20">
        <f t="shared" si="16"/>
        <v>158.77692307692308</v>
      </c>
      <c r="AH298" s="2">
        <v>188.8</v>
      </c>
      <c r="AI298" s="20">
        <f t="shared" si="17"/>
        <v>156.26666666666668</v>
      </c>
      <c r="AJ298" s="20">
        <f t="shared" si="18"/>
        <v>154.86666666666667</v>
      </c>
      <c r="AK298" s="20">
        <f t="shared" si="19"/>
        <v>155.36666666666665</v>
      </c>
    </row>
    <row r="299" spans="1:37" ht="15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145.1</v>
      </c>
      <c r="F299" s="2">
        <v>198.5</v>
      </c>
      <c r="G299" s="2">
        <v>168.6</v>
      </c>
      <c r="H299" s="2">
        <v>155.80000000000001</v>
      </c>
      <c r="I299" s="2">
        <v>184.4</v>
      </c>
      <c r="J299" s="2">
        <v>162.30000000000001</v>
      </c>
      <c r="K299" s="2">
        <v>138.4</v>
      </c>
      <c r="L299" s="2">
        <v>165.1</v>
      </c>
      <c r="M299" s="2">
        <v>114.3</v>
      </c>
      <c r="N299" s="2">
        <v>169.7</v>
      </c>
      <c r="O299" s="2">
        <v>164.6</v>
      </c>
      <c r="P299" s="2">
        <v>169.8</v>
      </c>
      <c r="Q299" s="2">
        <v>158.69999999999999</v>
      </c>
      <c r="R299" s="2">
        <v>189.6</v>
      </c>
      <c r="S299" s="2">
        <v>165.3</v>
      </c>
      <c r="T299" s="2">
        <v>160.6</v>
      </c>
      <c r="U299" s="2">
        <v>164.5</v>
      </c>
      <c r="V299" s="2">
        <f>VLOOKUP($A299,'Impute housing Missing Value'!$A$1:$C$125,3,0)</f>
        <v>161.6</v>
      </c>
      <c r="W299" s="2">
        <v>161.69999999999999</v>
      </c>
      <c r="X299" s="2">
        <v>158.80000000000001</v>
      </c>
      <c r="Y299" s="2">
        <v>169.1</v>
      </c>
      <c r="Z299" s="2">
        <v>153.19999999999999</v>
      </c>
      <c r="AA299" s="2">
        <v>160</v>
      </c>
      <c r="AB299" s="2">
        <v>167.6</v>
      </c>
      <c r="AC299" s="2">
        <v>159.30000000000001</v>
      </c>
      <c r="AD299" s="2">
        <v>161.1</v>
      </c>
      <c r="AE299" s="2">
        <v>161.1</v>
      </c>
      <c r="AG299" s="20">
        <f t="shared" si="16"/>
        <v>161.17692307692306</v>
      </c>
      <c r="AH299" s="2">
        <v>189.6</v>
      </c>
      <c r="AI299" s="20">
        <f t="shared" si="17"/>
        <v>160.69999999999999</v>
      </c>
      <c r="AJ299" s="20">
        <f t="shared" si="18"/>
        <v>163.46666666666667</v>
      </c>
      <c r="AK299" s="20">
        <f t="shared" si="19"/>
        <v>161.71666666666667</v>
      </c>
    </row>
    <row r="300" spans="1:37" ht="15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148.80000000000001</v>
      </c>
      <c r="F300" s="2">
        <v>204.3</v>
      </c>
      <c r="G300" s="2">
        <v>173</v>
      </c>
      <c r="H300" s="2">
        <v>156.5</v>
      </c>
      <c r="I300" s="2">
        <v>168.8</v>
      </c>
      <c r="J300" s="2">
        <v>172.5</v>
      </c>
      <c r="K300" s="2">
        <v>166.5</v>
      </c>
      <c r="L300" s="2">
        <v>165.9</v>
      </c>
      <c r="M300" s="2">
        <v>115.9</v>
      </c>
      <c r="N300" s="2">
        <v>165.2</v>
      </c>
      <c r="O300" s="2">
        <v>152</v>
      </c>
      <c r="P300" s="2">
        <v>171.1</v>
      </c>
      <c r="Q300" s="2">
        <v>164.2</v>
      </c>
      <c r="R300" s="2">
        <v>198.2</v>
      </c>
      <c r="S300" s="2">
        <v>156.5</v>
      </c>
      <c r="T300" s="2">
        <v>140.19999999999999</v>
      </c>
      <c r="U300" s="2">
        <v>154.1</v>
      </c>
      <c r="V300" s="2">
        <v>161.6</v>
      </c>
      <c r="W300" s="2">
        <v>155.5</v>
      </c>
      <c r="X300" s="2">
        <v>150.1</v>
      </c>
      <c r="Y300" s="2">
        <v>160.4</v>
      </c>
      <c r="Z300" s="2">
        <v>145</v>
      </c>
      <c r="AA300" s="2">
        <v>152.6</v>
      </c>
      <c r="AB300" s="2">
        <v>156.6</v>
      </c>
      <c r="AC300" s="2">
        <v>157.5</v>
      </c>
      <c r="AD300" s="2">
        <v>152.30000000000001</v>
      </c>
      <c r="AE300" s="2">
        <v>159.5</v>
      </c>
      <c r="AG300" s="20">
        <f t="shared" si="16"/>
        <v>163.43846153846155</v>
      </c>
      <c r="AH300" s="2">
        <v>198.2</v>
      </c>
      <c r="AI300" s="20">
        <f t="shared" si="17"/>
        <v>155.73333333333335</v>
      </c>
      <c r="AJ300" s="20">
        <f t="shared" si="18"/>
        <v>150.26666666666665</v>
      </c>
      <c r="AK300" s="20">
        <f t="shared" si="19"/>
        <v>154.06666666666669</v>
      </c>
    </row>
    <row r="301" spans="1:37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146.30000000000001</v>
      </c>
      <c r="F301" s="2">
        <v>200.5</v>
      </c>
      <c r="G301" s="2">
        <v>170.3</v>
      </c>
      <c r="H301" s="2">
        <v>156.1</v>
      </c>
      <c r="I301" s="2">
        <v>178.7</v>
      </c>
      <c r="J301" s="2">
        <v>167.1</v>
      </c>
      <c r="K301" s="2">
        <v>147.9</v>
      </c>
      <c r="L301" s="2">
        <v>165.4</v>
      </c>
      <c r="M301" s="2">
        <v>114.8</v>
      </c>
      <c r="N301" s="2">
        <v>168.2</v>
      </c>
      <c r="O301" s="2">
        <v>159.30000000000001</v>
      </c>
      <c r="P301" s="2">
        <v>170.4</v>
      </c>
      <c r="Q301" s="2">
        <v>160.69999999999999</v>
      </c>
      <c r="R301" s="2">
        <v>191.9</v>
      </c>
      <c r="S301" s="2">
        <v>161.80000000000001</v>
      </c>
      <c r="T301" s="2">
        <v>152.1</v>
      </c>
      <c r="U301" s="2">
        <v>160.4</v>
      </c>
      <c r="V301" s="2">
        <v>161.6</v>
      </c>
      <c r="W301" s="2">
        <v>159.4</v>
      </c>
      <c r="X301" s="2">
        <v>154.69999999999999</v>
      </c>
      <c r="Y301" s="2">
        <v>165.8</v>
      </c>
      <c r="Z301" s="2">
        <v>148.9</v>
      </c>
      <c r="AA301" s="2">
        <v>155.80000000000001</v>
      </c>
      <c r="AB301" s="2">
        <v>161.19999999999999</v>
      </c>
      <c r="AC301" s="2">
        <v>158.6</v>
      </c>
      <c r="AD301" s="2">
        <v>156.80000000000001</v>
      </c>
      <c r="AE301" s="2">
        <v>160.4</v>
      </c>
      <c r="AG301" s="20">
        <f t="shared" si="16"/>
        <v>161.9769230769231</v>
      </c>
      <c r="AH301" s="2">
        <v>191.9</v>
      </c>
      <c r="AI301" s="20">
        <f t="shared" si="17"/>
        <v>158.56666666666666</v>
      </c>
      <c r="AJ301" s="20">
        <f t="shared" si="18"/>
        <v>158.1</v>
      </c>
      <c r="AK301" s="20">
        <f t="shared" si="19"/>
        <v>157.85000000000002</v>
      </c>
    </row>
    <row r="302" spans="1:37" ht="15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145.6</v>
      </c>
      <c r="F302" s="2">
        <v>200.1</v>
      </c>
      <c r="G302" s="2">
        <v>179.3</v>
      </c>
      <c r="H302" s="2">
        <v>156.1</v>
      </c>
      <c r="I302" s="2">
        <v>190.4</v>
      </c>
      <c r="J302" s="2">
        <v>158.6</v>
      </c>
      <c r="K302" s="2">
        <v>144.69999999999999</v>
      </c>
      <c r="L302" s="2">
        <v>165.5</v>
      </c>
      <c r="M302" s="2">
        <v>114.6</v>
      </c>
      <c r="N302" s="2">
        <v>170</v>
      </c>
      <c r="O302" s="2">
        <v>165.5</v>
      </c>
      <c r="P302" s="2">
        <v>171.7</v>
      </c>
      <c r="Q302" s="2">
        <v>160.5</v>
      </c>
      <c r="R302" s="2">
        <v>189.1</v>
      </c>
      <c r="S302" s="2">
        <v>165.3</v>
      </c>
      <c r="T302" s="2">
        <v>159.9</v>
      </c>
      <c r="U302" s="2">
        <v>164.6</v>
      </c>
      <c r="V302" s="2">
        <f>VLOOKUP($A302,'Impute housing Missing Value'!$A$1:$C$125,3,0)</f>
        <v>160.5</v>
      </c>
      <c r="W302" s="2">
        <v>162.1</v>
      </c>
      <c r="X302" s="2">
        <v>159.19999999999999</v>
      </c>
      <c r="Y302" s="2">
        <v>169.7</v>
      </c>
      <c r="Z302" s="2">
        <v>154.19999999999999</v>
      </c>
      <c r="AA302" s="2">
        <v>160.4</v>
      </c>
      <c r="AB302" s="2">
        <v>166.8</v>
      </c>
      <c r="AC302" s="2">
        <v>159.4</v>
      </c>
      <c r="AD302" s="2">
        <v>161.5</v>
      </c>
      <c r="AE302" s="2">
        <v>162.1</v>
      </c>
      <c r="AG302" s="20">
        <f t="shared" si="16"/>
        <v>163.27692307692308</v>
      </c>
      <c r="AH302" s="2">
        <v>189.1</v>
      </c>
      <c r="AI302" s="20">
        <f t="shared" si="17"/>
        <v>160.6</v>
      </c>
      <c r="AJ302" s="20">
        <f t="shared" si="18"/>
        <v>163.26666666666668</v>
      </c>
      <c r="AK302" s="20">
        <f t="shared" si="19"/>
        <v>161.99999999999997</v>
      </c>
    </row>
    <row r="303" spans="1:37" ht="15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149.19999999999999</v>
      </c>
      <c r="F303" s="2">
        <v>205.5</v>
      </c>
      <c r="G303" s="2">
        <v>182.8</v>
      </c>
      <c r="H303" s="2">
        <v>156.5</v>
      </c>
      <c r="I303" s="2">
        <v>172.2</v>
      </c>
      <c r="J303" s="2">
        <v>171.5</v>
      </c>
      <c r="K303" s="2">
        <v>176.2</v>
      </c>
      <c r="L303" s="2">
        <v>166.9</v>
      </c>
      <c r="M303" s="2">
        <v>116.1</v>
      </c>
      <c r="N303" s="2">
        <v>165.5</v>
      </c>
      <c r="O303" s="2">
        <v>152.30000000000001</v>
      </c>
      <c r="P303" s="2">
        <v>173.3</v>
      </c>
      <c r="Q303" s="2">
        <v>166.2</v>
      </c>
      <c r="R303" s="2">
        <v>195.6</v>
      </c>
      <c r="S303" s="2">
        <v>157.30000000000001</v>
      </c>
      <c r="T303" s="2">
        <v>140.5</v>
      </c>
      <c r="U303" s="2">
        <v>154.80000000000001</v>
      </c>
      <c r="V303" s="2">
        <v>160.5</v>
      </c>
      <c r="W303" s="2">
        <v>156.1</v>
      </c>
      <c r="X303" s="2">
        <v>149.80000000000001</v>
      </c>
      <c r="Y303" s="2">
        <v>160.80000000000001</v>
      </c>
      <c r="Z303" s="2">
        <v>147.5</v>
      </c>
      <c r="AA303" s="2">
        <v>150.69999999999999</v>
      </c>
      <c r="AB303" s="2">
        <v>158.1</v>
      </c>
      <c r="AC303" s="2">
        <v>158</v>
      </c>
      <c r="AD303" s="2">
        <v>153.4</v>
      </c>
      <c r="AE303" s="2">
        <v>160.4</v>
      </c>
      <c r="AG303" s="20">
        <f t="shared" si="16"/>
        <v>165.7076923076923</v>
      </c>
      <c r="AH303" s="2">
        <v>195.6</v>
      </c>
      <c r="AI303" s="20">
        <f t="shared" si="17"/>
        <v>155.46666666666667</v>
      </c>
      <c r="AJ303" s="20">
        <f t="shared" si="18"/>
        <v>150.86666666666667</v>
      </c>
      <c r="AK303" s="20">
        <f t="shared" si="19"/>
        <v>154.75</v>
      </c>
    </row>
    <row r="304" spans="1:37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146.69999999999999</v>
      </c>
      <c r="F304" s="2">
        <v>202</v>
      </c>
      <c r="G304" s="2">
        <v>180.7</v>
      </c>
      <c r="H304" s="2">
        <v>156.19999999999999</v>
      </c>
      <c r="I304" s="2">
        <v>183.7</v>
      </c>
      <c r="J304" s="2">
        <v>164.6</v>
      </c>
      <c r="K304" s="2">
        <v>155.4</v>
      </c>
      <c r="L304" s="2">
        <v>166</v>
      </c>
      <c r="M304" s="2">
        <v>115.1</v>
      </c>
      <c r="N304" s="2">
        <v>168.5</v>
      </c>
      <c r="O304" s="2">
        <v>160</v>
      </c>
      <c r="P304" s="2">
        <v>172.4</v>
      </c>
      <c r="Q304" s="2">
        <v>162.6</v>
      </c>
      <c r="R304" s="2">
        <v>190.8</v>
      </c>
      <c r="S304" s="2">
        <v>162.19999999999999</v>
      </c>
      <c r="T304" s="2">
        <v>151.80000000000001</v>
      </c>
      <c r="U304" s="2">
        <v>160.69999999999999</v>
      </c>
      <c r="V304" s="2">
        <v>160.5</v>
      </c>
      <c r="W304" s="2">
        <v>159.80000000000001</v>
      </c>
      <c r="X304" s="2">
        <v>154.80000000000001</v>
      </c>
      <c r="Y304" s="2">
        <v>166.3</v>
      </c>
      <c r="Z304" s="2">
        <v>150.69999999999999</v>
      </c>
      <c r="AA304" s="2">
        <v>154.9</v>
      </c>
      <c r="AB304" s="2">
        <v>161.69999999999999</v>
      </c>
      <c r="AC304" s="2">
        <v>158.80000000000001</v>
      </c>
      <c r="AD304" s="2">
        <v>157.6</v>
      </c>
      <c r="AE304" s="2">
        <v>161.30000000000001</v>
      </c>
      <c r="AG304" s="20">
        <f t="shared" si="16"/>
        <v>164.14615384615385</v>
      </c>
      <c r="AH304" s="2">
        <v>190.8</v>
      </c>
      <c r="AI304" s="20">
        <f t="shared" si="17"/>
        <v>158.36666666666667</v>
      </c>
      <c r="AJ304" s="20">
        <f t="shared" si="18"/>
        <v>158.23333333333332</v>
      </c>
      <c r="AK304" s="20">
        <f t="shared" si="19"/>
        <v>158.33333333333331</v>
      </c>
    </row>
    <row r="305" spans="1:37" ht="15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145.1</v>
      </c>
      <c r="F305" s="2">
        <v>204.5</v>
      </c>
      <c r="G305" s="2">
        <v>180.4</v>
      </c>
      <c r="H305" s="2">
        <v>157.1</v>
      </c>
      <c r="I305" s="2">
        <v>188.7</v>
      </c>
      <c r="J305" s="2">
        <v>157.69999999999999</v>
      </c>
      <c r="K305" s="2">
        <v>152.80000000000001</v>
      </c>
      <c r="L305" s="2">
        <v>163.6</v>
      </c>
      <c r="M305" s="2">
        <v>113.9</v>
      </c>
      <c r="N305" s="2">
        <v>169.7</v>
      </c>
      <c r="O305" s="2">
        <v>166.2</v>
      </c>
      <c r="P305" s="2">
        <v>171</v>
      </c>
      <c r="Q305" s="2">
        <v>161.69999999999999</v>
      </c>
      <c r="R305" s="2">
        <v>189.7</v>
      </c>
      <c r="S305" s="2">
        <v>166</v>
      </c>
      <c r="T305" s="2">
        <v>161.1</v>
      </c>
      <c r="U305" s="2">
        <v>165.3</v>
      </c>
      <c r="V305" s="2">
        <f>VLOOKUP($A305,'Impute housing Missing Value'!$A$1:$C$125,3,0)</f>
        <v>161.5</v>
      </c>
      <c r="W305" s="2">
        <v>162.5</v>
      </c>
      <c r="X305" s="2">
        <v>160.30000000000001</v>
      </c>
      <c r="Y305" s="2">
        <v>170.4</v>
      </c>
      <c r="Z305" s="2">
        <v>157.1</v>
      </c>
      <c r="AA305" s="2">
        <v>160.69999999999999</v>
      </c>
      <c r="AB305" s="2">
        <v>167.2</v>
      </c>
      <c r="AC305" s="2">
        <v>160.4</v>
      </c>
      <c r="AD305" s="2">
        <v>162.80000000000001</v>
      </c>
      <c r="AE305" s="2">
        <v>163.19999999999999</v>
      </c>
      <c r="AG305" s="20">
        <f t="shared" si="16"/>
        <v>164.03076923076924</v>
      </c>
      <c r="AH305" s="2">
        <v>189.7</v>
      </c>
      <c r="AI305" s="20">
        <f t="shared" si="17"/>
        <v>161.43333333333334</v>
      </c>
      <c r="AJ305" s="20">
        <f t="shared" si="18"/>
        <v>164.13333333333335</v>
      </c>
      <c r="AK305" s="20">
        <f t="shared" si="19"/>
        <v>163.1</v>
      </c>
    </row>
    <row r="306" spans="1:37" ht="15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149.1</v>
      </c>
      <c r="F306" s="2">
        <v>210.9</v>
      </c>
      <c r="G306" s="2">
        <v>185</v>
      </c>
      <c r="H306" s="2">
        <v>158.19999999999999</v>
      </c>
      <c r="I306" s="2">
        <v>170.6</v>
      </c>
      <c r="J306" s="2">
        <v>170.9</v>
      </c>
      <c r="K306" s="2">
        <v>186.4</v>
      </c>
      <c r="L306" s="2">
        <v>164.7</v>
      </c>
      <c r="M306" s="2">
        <v>115.7</v>
      </c>
      <c r="N306" s="2">
        <v>165.5</v>
      </c>
      <c r="O306" s="2">
        <v>153.4</v>
      </c>
      <c r="P306" s="2">
        <v>173.5</v>
      </c>
      <c r="Q306" s="2">
        <v>167.9</v>
      </c>
      <c r="R306" s="2">
        <v>195.5</v>
      </c>
      <c r="S306" s="2">
        <v>157.9</v>
      </c>
      <c r="T306" s="2">
        <v>141.9</v>
      </c>
      <c r="U306" s="2">
        <v>155.5</v>
      </c>
      <c r="V306" s="2">
        <v>161.5</v>
      </c>
      <c r="W306" s="2">
        <v>157.69999999999999</v>
      </c>
      <c r="X306" s="2">
        <v>150.69999999999999</v>
      </c>
      <c r="Y306" s="2">
        <v>161.5</v>
      </c>
      <c r="Z306" s="2">
        <v>149.5</v>
      </c>
      <c r="AA306" s="2">
        <v>151.19999999999999</v>
      </c>
      <c r="AB306" s="2">
        <v>160.30000000000001</v>
      </c>
      <c r="AC306" s="2">
        <v>159.6</v>
      </c>
      <c r="AD306" s="2">
        <v>155</v>
      </c>
      <c r="AE306" s="2">
        <v>161.80000000000001</v>
      </c>
      <c r="AG306" s="20">
        <f t="shared" si="16"/>
        <v>167.06153846153848</v>
      </c>
      <c r="AH306" s="2">
        <v>195.5</v>
      </c>
      <c r="AI306" s="20">
        <f t="shared" si="17"/>
        <v>156.63333333333333</v>
      </c>
      <c r="AJ306" s="20">
        <f t="shared" si="18"/>
        <v>151.76666666666668</v>
      </c>
      <c r="AK306" s="20">
        <f t="shared" si="19"/>
        <v>156.18333333333334</v>
      </c>
    </row>
    <row r="307" spans="1:37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146.4</v>
      </c>
      <c r="F307" s="2">
        <v>206.8</v>
      </c>
      <c r="G307" s="2">
        <v>182.2</v>
      </c>
      <c r="H307" s="2">
        <v>157.5</v>
      </c>
      <c r="I307" s="2">
        <v>182.1</v>
      </c>
      <c r="J307" s="2">
        <v>163.9</v>
      </c>
      <c r="K307" s="2">
        <v>164.2</v>
      </c>
      <c r="L307" s="2">
        <v>164</v>
      </c>
      <c r="M307" s="2">
        <v>114.5</v>
      </c>
      <c r="N307" s="2">
        <v>168.3</v>
      </c>
      <c r="O307" s="2">
        <v>160.9</v>
      </c>
      <c r="P307" s="2">
        <v>172.2</v>
      </c>
      <c r="Q307" s="2">
        <v>164</v>
      </c>
      <c r="R307" s="2">
        <v>191.2</v>
      </c>
      <c r="S307" s="2">
        <v>162.80000000000001</v>
      </c>
      <c r="T307" s="2">
        <v>153.1</v>
      </c>
      <c r="U307" s="2">
        <v>161.4</v>
      </c>
      <c r="V307" s="2">
        <v>161.5</v>
      </c>
      <c r="W307" s="2">
        <v>160.69999999999999</v>
      </c>
      <c r="X307" s="2">
        <v>155.80000000000001</v>
      </c>
      <c r="Y307" s="2">
        <v>167</v>
      </c>
      <c r="Z307" s="2">
        <v>153.1</v>
      </c>
      <c r="AA307" s="2">
        <v>155.30000000000001</v>
      </c>
      <c r="AB307" s="2">
        <v>163.19999999999999</v>
      </c>
      <c r="AC307" s="2">
        <v>160.1</v>
      </c>
      <c r="AD307" s="2">
        <v>159</v>
      </c>
      <c r="AE307" s="2">
        <v>162.5</v>
      </c>
      <c r="AG307" s="20">
        <f t="shared" si="16"/>
        <v>165.15384615384616</v>
      </c>
      <c r="AH307" s="2">
        <v>191.2</v>
      </c>
      <c r="AI307" s="20">
        <f t="shared" si="17"/>
        <v>159.33333333333334</v>
      </c>
      <c r="AJ307" s="20">
        <f t="shared" si="18"/>
        <v>159.1</v>
      </c>
      <c r="AK307" s="20">
        <f t="shared" si="19"/>
        <v>159.61666666666667</v>
      </c>
    </row>
    <row r="308" spans="1:37" ht="15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144.9</v>
      </c>
      <c r="F308" s="2">
        <v>202.3</v>
      </c>
      <c r="G308" s="2">
        <v>176.5</v>
      </c>
      <c r="H308" s="2">
        <v>157.5</v>
      </c>
      <c r="I308" s="2">
        <v>190.9</v>
      </c>
      <c r="J308" s="2">
        <v>155.69999999999999</v>
      </c>
      <c r="K308" s="2">
        <v>153.9</v>
      </c>
      <c r="L308" s="2">
        <v>162.80000000000001</v>
      </c>
      <c r="M308" s="2">
        <v>115.2</v>
      </c>
      <c r="N308" s="2">
        <v>169.8</v>
      </c>
      <c r="O308" s="2">
        <v>167.6</v>
      </c>
      <c r="P308" s="2">
        <v>171.9</v>
      </c>
      <c r="Q308" s="2">
        <v>161.80000000000001</v>
      </c>
      <c r="R308" s="2">
        <v>190.2</v>
      </c>
      <c r="S308" s="2">
        <v>167</v>
      </c>
      <c r="T308" s="2">
        <v>162.6</v>
      </c>
      <c r="U308" s="2">
        <v>166.3</v>
      </c>
      <c r="V308" s="2">
        <f>VLOOKUP($A308,'Impute housing Missing Value'!$A$1:$C$125,3,0)</f>
        <v>162.1</v>
      </c>
      <c r="W308" s="2">
        <v>163.1</v>
      </c>
      <c r="X308" s="2">
        <v>160.9</v>
      </c>
      <c r="Y308" s="2">
        <v>171.1</v>
      </c>
      <c r="Z308" s="2">
        <v>157.69999999999999</v>
      </c>
      <c r="AA308" s="2">
        <v>161.1</v>
      </c>
      <c r="AB308" s="2">
        <v>167.5</v>
      </c>
      <c r="AC308" s="2">
        <v>160.30000000000001</v>
      </c>
      <c r="AD308" s="2">
        <v>163.30000000000001</v>
      </c>
      <c r="AE308" s="2">
        <v>163.6</v>
      </c>
      <c r="AG308" s="20">
        <f t="shared" si="16"/>
        <v>163.90769230769232</v>
      </c>
      <c r="AH308" s="2">
        <v>190.2</v>
      </c>
      <c r="AI308" s="20">
        <f t="shared" si="17"/>
        <v>162.03333333333333</v>
      </c>
      <c r="AJ308" s="20">
        <f t="shared" si="18"/>
        <v>165.3</v>
      </c>
      <c r="AK308" s="20">
        <f t="shared" si="19"/>
        <v>163.5</v>
      </c>
    </row>
    <row r="309" spans="1:37" ht="15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149.30000000000001</v>
      </c>
      <c r="F309" s="2">
        <v>207.4</v>
      </c>
      <c r="G309" s="2">
        <v>174.1</v>
      </c>
      <c r="H309" s="2">
        <v>159.19999999999999</v>
      </c>
      <c r="I309" s="2">
        <v>175</v>
      </c>
      <c r="J309" s="2">
        <v>161.30000000000001</v>
      </c>
      <c r="K309" s="2">
        <v>183.3</v>
      </c>
      <c r="L309" s="2">
        <v>164.5</v>
      </c>
      <c r="M309" s="2">
        <v>120.4</v>
      </c>
      <c r="N309" s="2">
        <v>166.2</v>
      </c>
      <c r="O309" s="2">
        <v>154.80000000000001</v>
      </c>
      <c r="P309" s="2">
        <v>175.1</v>
      </c>
      <c r="Q309" s="2">
        <v>167.3</v>
      </c>
      <c r="R309" s="2">
        <v>196.5</v>
      </c>
      <c r="S309" s="2">
        <v>159.80000000000001</v>
      </c>
      <c r="T309" s="2">
        <v>143.6</v>
      </c>
      <c r="U309" s="2">
        <v>157.30000000000001</v>
      </c>
      <c r="V309" s="2">
        <v>162.1</v>
      </c>
      <c r="W309" s="2">
        <v>160.69999999999999</v>
      </c>
      <c r="X309" s="2">
        <v>153.19999999999999</v>
      </c>
      <c r="Y309" s="2">
        <v>162.80000000000001</v>
      </c>
      <c r="Z309" s="2">
        <v>150.4</v>
      </c>
      <c r="AA309" s="2">
        <v>153.69999999999999</v>
      </c>
      <c r="AB309" s="2">
        <v>160.4</v>
      </c>
      <c r="AC309" s="2">
        <v>159.6</v>
      </c>
      <c r="AD309" s="2">
        <v>156</v>
      </c>
      <c r="AE309" s="2">
        <v>162.30000000000001</v>
      </c>
      <c r="AG309" s="20">
        <f t="shared" si="16"/>
        <v>165.99230769230769</v>
      </c>
      <c r="AH309" s="2">
        <v>196.5</v>
      </c>
      <c r="AI309" s="20">
        <f t="shared" si="17"/>
        <v>158.66666666666666</v>
      </c>
      <c r="AJ309" s="20">
        <f t="shared" si="18"/>
        <v>153.56666666666666</v>
      </c>
      <c r="AK309" s="20">
        <f t="shared" si="19"/>
        <v>157.15</v>
      </c>
    </row>
    <row r="310" spans="1:37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146.6</v>
      </c>
      <c r="F310" s="2">
        <v>204</v>
      </c>
      <c r="G310" s="2">
        <v>172.8</v>
      </c>
      <c r="H310" s="2">
        <v>158.4</v>
      </c>
      <c r="I310" s="2">
        <v>188</v>
      </c>
      <c r="J310" s="2">
        <v>156.80000000000001</v>
      </c>
      <c r="K310" s="2">
        <v>162.19999999999999</v>
      </c>
      <c r="L310" s="2">
        <v>164.1</v>
      </c>
      <c r="M310" s="2">
        <v>119.7</v>
      </c>
      <c r="N310" s="2">
        <v>168.8</v>
      </c>
      <c r="O310" s="2">
        <v>162.69999999999999</v>
      </c>
      <c r="P310" s="2">
        <v>173.9</v>
      </c>
      <c r="Q310" s="2">
        <v>164</v>
      </c>
      <c r="R310" s="2">
        <v>192.1</v>
      </c>
      <c r="S310" s="2">
        <v>164.5</v>
      </c>
      <c r="T310" s="2">
        <v>155.30000000000001</v>
      </c>
      <c r="U310" s="2">
        <v>163.19999999999999</v>
      </c>
      <c r="V310" s="2">
        <v>162.1</v>
      </c>
      <c r="W310" s="2">
        <v>162.6</v>
      </c>
      <c r="X310" s="2">
        <v>157.5</v>
      </c>
      <c r="Y310" s="2">
        <v>168.4</v>
      </c>
      <c r="Z310" s="2">
        <v>154</v>
      </c>
      <c r="AA310" s="2">
        <v>157.6</v>
      </c>
      <c r="AB310" s="2">
        <v>163.80000000000001</v>
      </c>
      <c r="AC310" s="2">
        <v>160</v>
      </c>
      <c r="AD310" s="2">
        <v>160</v>
      </c>
      <c r="AE310" s="2">
        <v>163.19999999999999</v>
      </c>
      <c r="AG310" s="20">
        <f t="shared" si="16"/>
        <v>164.76923076923077</v>
      </c>
      <c r="AH310" s="2">
        <v>192.1</v>
      </c>
      <c r="AI310" s="20">
        <f t="shared" si="17"/>
        <v>160.73333333333332</v>
      </c>
      <c r="AJ310" s="20">
        <f t="shared" si="18"/>
        <v>161</v>
      </c>
      <c r="AK310" s="20">
        <f t="shared" si="19"/>
        <v>160.63333333333333</v>
      </c>
    </row>
    <row r="311" spans="1:37" ht="26.5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145.4</v>
      </c>
      <c r="F311" s="2">
        <v>202.1</v>
      </c>
      <c r="G311" s="2">
        <v>172</v>
      </c>
      <c r="H311" s="2">
        <v>158</v>
      </c>
      <c r="I311" s="2">
        <v>195.5</v>
      </c>
      <c r="J311" s="2">
        <v>152.69999999999999</v>
      </c>
      <c r="K311" s="2">
        <v>151.4</v>
      </c>
      <c r="L311" s="2">
        <v>163.9</v>
      </c>
      <c r="M311" s="2">
        <v>119.3</v>
      </c>
      <c r="N311" s="2">
        <v>170.1</v>
      </c>
      <c r="O311" s="2">
        <v>168.3</v>
      </c>
      <c r="P311" s="2">
        <v>172.8</v>
      </c>
      <c r="Q311" s="2">
        <v>162.1</v>
      </c>
      <c r="R311" s="2">
        <v>190.5</v>
      </c>
      <c r="S311" s="2">
        <v>167.7</v>
      </c>
      <c r="T311" s="2">
        <v>163.6</v>
      </c>
      <c r="U311" s="2">
        <v>167.1</v>
      </c>
      <c r="V311" s="2">
        <f>VLOOKUP($A311,'Impute housing Missing Value'!$A$1:$C$125,3,0)</f>
        <v>162.1</v>
      </c>
      <c r="W311" s="2">
        <v>163.69999999999999</v>
      </c>
      <c r="X311" s="2">
        <v>161.30000000000001</v>
      </c>
      <c r="Y311" s="2">
        <v>171.9</v>
      </c>
      <c r="Z311" s="2">
        <v>157.80000000000001</v>
      </c>
      <c r="AA311" s="2">
        <v>162.69999999999999</v>
      </c>
      <c r="AB311" s="2">
        <v>168.5</v>
      </c>
      <c r="AC311" s="2">
        <v>160.19999999999999</v>
      </c>
      <c r="AD311" s="2">
        <v>163.80000000000001</v>
      </c>
      <c r="AE311" s="2">
        <v>164</v>
      </c>
      <c r="AG311" s="20">
        <f t="shared" si="16"/>
        <v>164.12307692307692</v>
      </c>
      <c r="AH311" s="2">
        <v>190.5</v>
      </c>
      <c r="AI311" s="20">
        <f t="shared" si="17"/>
        <v>162.36666666666665</v>
      </c>
      <c r="AJ311" s="20">
        <f t="shared" si="18"/>
        <v>166.13333333333333</v>
      </c>
      <c r="AK311" s="20">
        <f t="shared" si="19"/>
        <v>164.15</v>
      </c>
    </row>
    <row r="312" spans="1:37" ht="26.5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149.30000000000001</v>
      </c>
      <c r="F312" s="2">
        <v>207.4</v>
      </c>
      <c r="G312" s="2">
        <v>174.1</v>
      </c>
      <c r="H312" s="2">
        <v>159.1</v>
      </c>
      <c r="I312" s="2">
        <v>175</v>
      </c>
      <c r="J312" s="2">
        <v>161.19999999999999</v>
      </c>
      <c r="K312" s="2">
        <v>183.5</v>
      </c>
      <c r="L312" s="2">
        <v>164.5</v>
      </c>
      <c r="M312" s="2">
        <v>120.4</v>
      </c>
      <c r="N312" s="2">
        <v>166.2</v>
      </c>
      <c r="O312" s="2">
        <v>154.80000000000001</v>
      </c>
      <c r="P312" s="2">
        <v>175.1</v>
      </c>
      <c r="Q312" s="2">
        <v>167.3</v>
      </c>
      <c r="R312" s="2">
        <v>196.5</v>
      </c>
      <c r="S312" s="2">
        <v>159.80000000000001</v>
      </c>
      <c r="T312" s="2">
        <v>143.6</v>
      </c>
      <c r="U312" s="2">
        <v>157.4</v>
      </c>
      <c r="V312" s="2">
        <v>162.1</v>
      </c>
      <c r="W312" s="2">
        <v>160.80000000000001</v>
      </c>
      <c r="X312" s="2">
        <v>153.30000000000001</v>
      </c>
      <c r="Y312" s="2">
        <v>162.80000000000001</v>
      </c>
      <c r="Z312" s="2">
        <v>150.5</v>
      </c>
      <c r="AA312" s="2">
        <v>153.9</v>
      </c>
      <c r="AB312" s="2">
        <v>160.30000000000001</v>
      </c>
      <c r="AC312" s="2">
        <v>159.6</v>
      </c>
      <c r="AD312" s="2">
        <v>156</v>
      </c>
      <c r="AE312" s="2">
        <v>162.30000000000001</v>
      </c>
      <c r="AG312" s="20">
        <f t="shared" si="16"/>
        <v>165.99230769230769</v>
      </c>
      <c r="AH312" s="2">
        <v>196.5</v>
      </c>
      <c r="AI312" s="20">
        <f t="shared" si="17"/>
        <v>158.73333333333332</v>
      </c>
      <c r="AJ312" s="20">
        <f t="shared" si="18"/>
        <v>153.6</v>
      </c>
      <c r="AK312" s="20">
        <f t="shared" si="19"/>
        <v>157.18333333333334</v>
      </c>
    </row>
    <row r="313" spans="1:37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146.6</v>
      </c>
      <c r="F313" s="2">
        <v>204</v>
      </c>
      <c r="G313" s="2">
        <v>172.8</v>
      </c>
      <c r="H313" s="2">
        <v>158.4</v>
      </c>
      <c r="I313" s="2">
        <v>188</v>
      </c>
      <c r="J313" s="2">
        <v>156.69999999999999</v>
      </c>
      <c r="K313" s="2">
        <v>162.30000000000001</v>
      </c>
      <c r="L313" s="2">
        <v>164.1</v>
      </c>
      <c r="M313" s="2">
        <v>119.7</v>
      </c>
      <c r="N313" s="2">
        <v>168.8</v>
      </c>
      <c r="O313" s="2">
        <v>162.69999999999999</v>
      </c>
      <c r="P313" s="2">
        <v>173.9</v>
      </c>
      <c r="Q313" s="2">
        <v>164</v>
      </c>
      <c r="R313" s="2">
        <v>192.1</v>
      </c>
      <c r="S313" s="2">
        <v>164.6</v>
      </c>
      <c r="T313" s="2">
        <v>155.30000000000001</v>
      </c>
      <c r="U313" s="2">
        <v>163.30000000000001</v>
      </c>
      <c r="V313" s="2">
        <v>162.1</v>
      </c>
      <c r="W313" s="2">
        <v>162.6</v>
      </c>
      <c r="X313" s="2">
        <v>157.5</v>
      </c>
      <c r="Y313" s="2">
        <v>168.4</v>
      </c>
      <c r="Z313" s="2">
        <v>154</v>
      </c>
      <c r="AA313" s="2">
        <v>157.69999999999999</v>
      </c>
      <c r="AB313" s="2">
        <v>163.69999999999999</v>
      </c>
      <c r="AC313" s="2">
        <v>160</v>
      </c>
      <c r="AD313" s="2">
        <v>160</v>
      </c>
      <c r="AE313" s="2">
        <v>163.19999999999999</v>
      </c>
      <c r="AG313" s="20">
        <f t="shared" si="16"/>
        <v>164.76923076923077</v>
      </c>
      <c r="AH313" s="2">
        <v>192.1</v>
      </c>
      <c r="AI313" s="20">
        <f t="shared" si="17"/>
        <v>160.73333333333332</v>
      </c>
      <c r="AJ313" s="20">
        <f t="shared" si="18"/>
        <v>161.06666666666666</v>
      </c>
      <c r="AK313" s="20">
        <f t="shared" si="19"/>
        <v>160.63333333333333</v>
      </c>
    </row>
    <row r="314" spans="1:37" ht="15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146.1</v>
      </c>
      <c r="F314" s="2">
        <v>202.5</v>
      </c>
      <c r="G314" s="2">
        <v>170.1</v>
      </c>
      <c r="H314" s="2">
        <v>158.4</v>
      </c>
      <c r="I314" s="2">
        <v>198.8</v>
      </c>
      <c r="J314" s="2">
        <v>152.6</v>
      </c>
      <c r="K314" s="2">
        <v>170.4</v>
      </c>
      <c r="L314" s="2">
        <v>165.2</v>
      </c>
      <c r="M314" s="2">
        <v>121.6</v>
      </c>
      <c r="N314" s="2">
        <v>170.6</v>
      </c>
      <c r="O314" s="2">
        <v>168.8</v>
      </c>
      <c r="P314" s="2">
        <v>173.6</v>
      </c>
      <c r="Q314" s="2">
        <v>165.5</v>
      </c>
      <c r="R314" s="2">
        <v>191.2</v>
      </c>
      <c r="S314" s="2">
        <v>168.9</v>
      </c>
      <c r="T314" s="2">
        <v>164.8</v>
      </c>
      <c r="U314" s="2">
        <v>168.3</v>
      </c>
      <c r="V314" s="2">
        <f>VLOOKUP($A314,'Impute housing Missing Value'!$A$1:$C$125,3,0)</f>
        <v>163.6</v>
      </c>
      <c r="W314" s="2">
        <v>165.5</v>
      </c>
      <c r="X314" s="2">
        <v>162</v>
      </c>
      <c r="Y314" s="2">
        <v>172.5</v>
      </c>
      <c r="Z314" s="2">
        <v>159.5</v>
      </c>
      <c r="AA314" s="2">
        <v>163.19999999999999</v>
      </c>
      <c r="AB314" s="2">
        <v>169</v>
      </c>
      <c r="AC314" s="2">
        <v>161.1</v>
      </c>
      <c r="AD314" s="2">
        <v>164.7</v>
      </c>
      <c r="AE314" s="2">
        <v>166.3</v>
      </c>
      <c r="AG314" s="20">
        <f t="shared" si="16"/>
        <v>166.47692307692307</v>
      </c>
      <c r="AH314" s="2">
        <v>191.2</v>
      </c>
      <c r="AI314" s="20">
        <f t="shared" si="17"/>
        <v>163.70000000000002</v>
      </c>
      <c r="AJ314" s="20">
        <f t="shared" si="18"/>
        <v>167.33333333333334</v>
      </c>
      <c r="AK314" s="20">
        <f t="shared" si="19"/>
        <v>165</v>
      </c>
    </row>
    <row r="315" spans="1:37" ht="15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150.1</v>
      </c>
      <c r="F315" s="2">
        <v>208.4</v>
      </c>
      <c r="G315" s="2">
        <v>173</v>
      </c>
      <c r="H315" s="2">
        <v>159.19999999999999</v>
      </c>
      <c r="I315" s="2">
        <v>176.6</v>
      </c>
      <c r="J315" s="2">
        <v>159.30000000000001</v>
      </c>
      <c r="K315" s="2">
        <v>214.4</v>
      </c>
      <c r="L315" s="2">
        <v>165.3</v>
      </c>
      <c r="M315" s="2">
        <v>122.5</v>
      </c>
      <c r="N315" s="2">
        <v>166.8</v>
      </c>
      <c r="O315" s="2">
        <v>155.4</v>
      </c>
      <c r="P315" s="2">
        <v>175.9</v>
      </c>
      <c r="Q315" s="2">
        <v>171.5</v>
      </c>
      <c r="R315" s="2">
        <v>197</v>
      </c>
      <c r="S315" s="2">
        <v>160.80000000000001</v>
      </c>
      <c r="T315" s="2">
        <v>144.4</v>
      </c>
      <c r="U315" s="2">
        <v>158.30000000000001</v>
      </c>
      <c r="V315" s="2">
        <v>163.6</v>
      </c>
      <c r="W315" s="2">
        <v>162.19999999999999</v>
      </c>
      <c r="X315" s="2">
        <v>154.30000000000001</v>
      </c>
      <c r="Y315" s="2">
        <v>163.5</v>
      </c>
      <c r="Z315" s="2">
        <v>152.19999999999999</v>
      </c>
      <c r="AA315" s="2">
        <v>155.1</v>
      </c>
      <c r="AB315" s="2">
        <v>160.30000000000001</v>
      </c>
      <c r="AC315" s="2">
        <v>160.30000000000001</v>
      </c>
      <c r="AD315" s="2">
        <v>157</v>
      </c>
      <c r="AE315" s="2">
        <v>164.6</v>
      </c>
      <c r="AG315" s="20">
        <f t="shared" si="16"/>
        <v>169.10769230769236</v>
      </c>
      <c r="AH315" s="2">
        <v>197</v>
      </c>
      <c r="AI315" s="20">
        <f t="shared" si="17"/>
        <v>160.03333333333333</v>
      </c>
      <c r="AJ315" s="20">
        <f t="shared" si="18"/>
        <v>154.50000000000003</v>
      </c>
      <c r="AK315" s="20">
        <f t="shared" si="19"/>
        <v>158.06666666666663</v>
      </c>
    </row>
    <row r="316" spans="1:37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147.4</v>
      </c>
      <c r="F316" s="2">
        <v>204.6</v>
      </c>
      <c r="G316" s="2">
        <v>171.2</v>
      </c>
      <c r="H316" s="2">
        <v>158.69999999999999</v>
      </c>
      <c r="I316" s="2">
        <v>190.6</v>
      </c>
      <c r="J316" s="2">
        <v>155.69999999999999</v>
      </c>
      <c r="K316" s="2">
        <v>185.3</v>
      </c>
      <c r="L316" s="2">
        <v>165.2</v>
      </c>
      <c r="M316" s="2">
        <v>121.9</v>
      </c>
      <c r="N316" s="2">
        <v>169.3</v>
      </c>
      <c r="O316" s="2">
        <v>163.19999999999999</v>
      </c>
      <c r="P316" s="2">
        <v>174.7</v>
      </c>
      <c r="Q316" s="2">
        <v>167.7</v>
      </c>
      <c r="R316" s="2">
        <v>192.7</v>
      </c>
      <c r="S316" s="2">
        <v>165.7</v>
      </c>
      <c r="T316" s="2">
        <v>156.30000000000001</v>
      </c>
      <c r="U316" s="2">
        <v>164.3</v>
      </c>
      <c r="V316" s="2">
        <v>163.6</v>
      </c>
      <c r="W316" s="2">
        <v>164.2</v>
      </c>
      <c r="X316" s="2">
        <v>158.4</v>
      </c>
      <c r="Y316" s="2">
        <v>169.1</v>
      </c>
      <c r="Z316" s="2">
        <v>155.69999999999999</v>
      </c>
      <c r="AA316" s="2">
        <v>158.6</v>
      </c>
      <c r="AB316" s="2">
        <v>163.9</v>
      </c>
      <c r="AC316" s="2">
        <v>160.80000000000001</v>
      </c>
      <c r="AD316" s="2">
        <v>161</v>
      </c>
      <c r="AE316" s="2">
        <v>165.5</v>
      </c>
      <c r="AG316" s="20">
        <f t="shared" si="16"/>
        <v>167.34615384615384</v>
      </c>
      <c r="AH316" s="2">
        <v>192.7</v>
      </c>
      <c r="AI316" s="20">
        <f t="shared" si="17"/>
        <v>162.06666666666663</v>
      </c>
      <c r="AJ316" s="20">
        <f t="shared" si="18"/>
        <v>162.1</v>
      </c>
      <c r="AK316" s="20">
        <f t="shared" si="19"/>
        <v>161.51666666666665</v>
      </c>
    </row>
    <row r="317" spans="1:37" ht="26.5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146.9</v>
      </c>
      <c r="F317" s="2">
        <v>199.8</v>
      </c>
      <c r="G317" s="2">
        <v>171.5</v>
      </c>
      <c r="H317" s="2">
        <v>159.1</v>
      </c>
      <c r="I317" s="2">
        <v>198.4</v>
      </c>
      <c r="J317" s="2">
        <v>153.19999999999999</v>
      </c>
      <c r="K317" s="2">
        <v>183.9</v>
      </c>
      <c r="L317" s="2">
        <v>165.4</v>
      </c>
      <c r="M317" s="2">
        <v>122.1</v>
      </c>
      <c r="N317" s="2">
        <v>170.8</v>
      </c>
      <c r="O317" s="2">
        <v>169.1</v>
      </c>
      <c r="P317" s="2">
        <v>174.3</v>
      </c>
      <c r="Q317" s="2">
        <v>167.5</v>
      </c>
      <c r="R317" s="2">
        <v>191.4</v>
      </c>
      <c r="S317" s="2">
        <v>170.4</v>
      </c>
      <c r="T317" s="2">
        <v>166</v>
      </c>
      <c r="U317" s="2">
        <v>169.8</v>
      </c>
      <c r="V317" s="2">
        <f>VLOOKUP($A317,'Impute housing Missing Value'!$A$1:$C$125,3,0)</f>
        <v>164.2</v>
      </c>
      <c r="W317" s="2">
        <v>165.3</v>
      </c>
      <c r="X317" s="2">
        <v>162.9</v>
      </c>
      <c r="Y317" s="2">
        <v>173.4</v>
      </c>
      <c r="Z317" s="2">
        <v>158.9</v>
      </c>
      <c r="AA317" s="2">
        <v>163.80000000000001</v>
      </c>
      <c r="AB317" s="2">
        <v>169.3</v>
      </c>
      <c r="AC317" s="2">
        <v>162.4</v>
      </c>
      <c r="AD317" s="2">
        <v>165.2</v>
      </c>
      <c r="AE317" s="2">
        <v>167.6</v>
      </c>
      <c r="AG317" s="20">
        <f t="shared" si="16"/>
        <v>167.84615384615384</v>
      </c>
      <c r="AH317" s="2">
        <v>191.4</v>
      </c>
      <c r="AI317" s="20">
        <f t="shared" si="17"/>
        <v>164.13333333333333</v>
      </c>
      <c r="AJ317" s="20">
        <f t="shared" si="18"/>
        <v>168.73333333333332</v>
      </c>
      <c r="AK317" s="20">
        <f t="shared" si="19"/>
        <v>165.5</v>
      </c>
    </row>
    <row r="318" spans="1:37" ht="26.5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151</v>
      </c>
      <c r="F318" s="2">
        <v>204.9</v>
      </c>
      <c r="G318" s="2">
        <v>175.4</v>
      </c>
      <c r="H318" s="2">
        <v>159.6</v>
      </c>
      <c r="I318" s="2">
        <v>175.8</v>
      </c>
      <c r="J318" s="2">
        <v>160.30000000000001</v>
      </c>
      <c r="K318" s="2">
        <v>229.1</v>
      </c>
      <c r="L318" s="2">
        <v>165.1</v>
      </c>
      <c r="M318" s="2">
        <v>123.1</v>
      </c>
      <c r="N318" s="2">
        <v>167.2</v>
      </c>
      <c r="O318" s="2">
        <v>156.1</v>
      </c>
      <c r="P318" s="2">
        <v>176.8</v>
      </c>
      <c r="Q318" s="2">
        <v>173.5</v>
      </c>
      <c r="R318" s="2">
        <v>197</v>
      </c>
      <c r="S318" s="2">
        <v>162.30000000000001</v>
      </c>
      <c r="T318" s="2">
        <v>145.30000000000001</v>
      </c>
      <c r="U318" s="2">
        <v>159.69999999999999</v>
      </c>
      <c r="V318" s="2">
        <v>164.2</v>
      </c>
      <c r="W318" s="2">
        <v>161.6</v>
      </c>
      <c r="X318" s="2">
        <v>155.19999999999999</v>
      </c>
      <c r="Y318" s="2">
        <v>164.2</v>
      </c>
      <c r="Z318" s="2">
        <v>151.19999999999999</v>
      </c>
      <c r="AA318" s="2">
        <v>156.69999999999999</v>
      </c>
      <c r="AB318" s="2">
        <v>160.80000000000001</v>
      </c>
      <c r="AC318" s="2">
        <v>161.80000000000001</v>
      </c>
      <c r="AD318" s="2">
        <v>157.30000000000001</v>
      </c>
      <c r="AE318" s="2">
        <v>165.6</v>
      </c>
      <c r="AG318" s="20">
        <f t="shared" si="16"/>
        <v>170.60769230769228</v>
      </c>
      <c r="AH318" s="2">
        <v>197</v>
      </c>
      <c r="AI318" s="20">
        <f t="shared" si="17"/>
        <v>160.33333333333331</v>
      </c>
      <c r="AJ318" s="20">
        <f t="shared" si="18"/>
        <v>155.76666666666668</v>
      </c>
      <c r="AK318" s="20">
        <f t="shared" si="19"/>
        <v>158.66666666666666</v>
      </c>
    </row>
    <row r="319" spans="1:37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148.19999999999999</v>
      </c>
      <c r="F319" s="2">
        <v>201.6</v>
      </c>
      <c r="G319" s="2">
        <v>173</v>
      </c>
      <c r="H319" s="2">
        <v>159.30000000000001</v>
      </c>
      <c r="I319" s="2">
        <v>190.1</v>
      </c>
      <c r="J319" s="2">
        <v>156.5</v>
      </c>
      <c r="K319" s="2">
        <v>199.2</v>
      </c>
      <c r="L319" s="2">
        <v>165.3</v>
      </c>
      <c r="M319" s="2">
        <v>122.4</v>
      </c>
      <c r="N319" s="2">
        <v>169.6</v>
      </c>
      <c r="O319" s="2">
        <v>163.69999999999999</v>
      </c>
      <c r="P319" s="2">
        <v>175.5</v>
      </c>
      <c r="Q319" s="2">
        <v>169.7</v>
      </c>
      <c r="R319" s="2">
        <v>192.9</v>
      </c>
      <c r="S319" s="2">
        <v>167.2</v>
      </c>
      <c r="T319" s="2">
        <v>157.4</v>
      </c>
      <c r="U319" s="2">
        <v>165.8</v>
      </c>
      <c r="V319" s="2">
        <v>164.2</v>
      </c>
      <c r="W319" s="2">
        <v>163.9</v>
      </c>
      <c r="X319" s="2">
        <v>159.30000000000001</v>
      </c>
      <c r="Y319" s="2">
        <v>169.9</v>
      </c>
      <c r="Z319" s="2">
        <v>154.80000000000001</v>
      </c>
      <c r="AA319" s="2">
        <v>159.80000000000001</v>
      </c>
      <c r="AB319" s="2">
        <v>164.3</v>
      </c>
      <c r="AC319" s="2">
        <v>162.19999999999999</v>
      </c>
      <c r="AD319" s="2">
        <v>161.4</v>
      </c>
      <c r="AE319" s="2">
        <v>166.7</v>
      </c>
      <c r="AG319" s="20">
        <f t="shared" si="16"/>
        <v>168.77692307692308</v>
      </c>
      <c r="AH319" s="2">
        <v>192.9</v>
      </c>
      <c r="AI319" s="20">
        <f t="shared" si="17"/>
        <v>162.46666666666667</v>
      </c>
      <c r="AJ319" s="20">
        <f t="shared" si="18"/>
        <v>163.46666666666667</v>
      </c>
      <c r="AK319" s="20">
        <f t="shared" si="19"/>
        <v>162.06666666666666</v>
      </c>
    </row>
    <row r="320" spans="1:37" ht="26.5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147.4</v>
      </c>
      <c r="F320" s="2">
        <v>197</v>
      </c>
      <c r="G320" s="2">
        <v>176.5</v>
      </c>
      <c r="H320" s="2">
        <v>159.80000000000001</v>
      </c>
      <c r="I320" s="2">
        <v>195.8</v>
      </c>
      <c r="J320" s="2">
        <v>152</v>
      </c>
      <c r="K320" s="2">
        <v>172.3</v>
      </c>
      <c r="L320" s="2">
        <v>164.5</v>
      </c>
      <c r="M320" s="2">
        <v>120.6</v>
      </c>
      <c r="N320" s="2">
        <v>171.7</v>
      </c>
      <c r="O320" s="2">
        <v>169.7</v>
      </c>
      <c r="P320" s="2">
        <v>175.1</v>
      </c>
      <c r="Q320" s="2">
        <v>165.8</v>
      </c>
      <c r="R320" s="2">
        <v>190.8</v>
      </c>
      <c r="S320" s="2">
        <v>171.8</v>
      </c>
      <c r="T320" s="2">
        <v>167.3</v>
      </c>
      <c r="U320" s="2">
        <v>171.2</v>
      </c>
      <c r="V320" s="2">
        <f>VLOOKUP($A320,'Impute housing Missing Value'!$A$1:$C$125,3,0)</f>
        <v>163.4</v>
      </c>
      <c r="W320" s="2">
        <v>165.6</v>
      </c>
      <c r="X320" s="2">
        <v>163.9</v>
      </c>
      <c r="Y320" s="2">
        <v>174</v>
      </c>
      <c r="Z320" s="2">
        <v>160.1</v>
      </c>
      <c r="AA320" s="2">
        <v>164.5</v>
      </c>
      <c r="AB320" s="2">
        <v>169.7</v>
      </c>
      <c r="AC320" s="2">
        <v>162.80000000000001</v>
      </c>
      <c r="AD320" s="2">
        <v>166</v>
      </c>
      <c r="AE320" s="2">
        <v>167</v>
      </c>
      <c r="AG320" s="20">
        <f t="shared" si="16"/>
        <v>166.78461538461536</v>
      </c>
      <c r="AH320" s="2">
        <v>190.8</v>
      </c>
      <c r="AI320" s="20">
        <f t="shared" si="17"/>
        <v>164.29999999999998</v>
      </c>
      <c r="AJ320" s="20">
        <f t="shared" si="18"/>
        <v>170.1</v>
      </c>
      <c r="AK320" s="20">
        <f t="shared" si="19"/>
        <v>166.18333333333331</v>
      </c>
    </row>
    <row r="321" spans="1:37" ht="26.5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151.6</v>
      </c>
      <c r="F321" s="2">
        <v>202.2</v>
      </c>
      <c r="G321" s="2">
        <v>180</v>
      </c>
      <c r="H321" s="2">
        <v>160</v>
      </c>
      <c r="I321" s="2">
        <v>173.5</v>
      </c>
      <c r="J321" s="2">
        <v>158.30000000000001</v>
      </c>
      <c r="K321" s="2">
        <v>219.5</v>
      </c>
      <c r="L321" s="2">
        <v>164.2</v>
      </c>
      <c r="M321" s="2">
        <v>121.9</v>
      </c>
      <c r="N321" s="2">
        <v>168.2</v>
      </c>
      <c r="O321" s="2">
        <v>156.5</v>
      </c>
      <c r="P321" s="2">
        <v>178.2</v>
      </c>
      <c r="Q321" s="2">
        <v>172.2</v>
      </c>
      <c r="R321" s="2">
        <v>196.8</v>
      </c>
      <c r="S321" s="2">
        <v>163.30000000000001</v>
      </c>
      <c r="T321" s="2">
        <v>146.69999999999999</v>
      </c>
      <c r="U321" s="2">
        <v>160.69999999999999</v>
      </c>
      <c r="V321" s="2">
        <v>163.4</v>
      </c>
      <c r="W321" s="2">
        <v>161.69999999999999</v>
      </c>
      <c r="X321" s="2">
        <v>156</v>
      </c>
      <c r="Y321" s="2">
        <v>165.1</v>
      </c>
      <c r="Z321" s="2">
        <v>151.80000000000001</v>
      </c>
      <c r="AA321" s="2">
        <v>157.6</v>
      </c>
      <c r="AB321" s="2">
        <v>160.6</v>
      </c>
      <c r="AC321" s="2">
        <v>162.4</v>
      </c>
      <c r="AD321" s="2">
        <v>157.80000000000001</v>
      </c>
      <c r="AE321" s="2">
        <v>165.2</v>
      </c>
      <c r="AG321" s="20">
        <f t="shared" si="16"/>
        <v>169.71538461538464</v>
      </c>
      <c r="AH321" s="2">
        <v>196.8</v>
      </c>
      <c r="AI321" s="20">
        <f t="shared" si="17"/>
        <v>160.36666666666667</v>
      </c>
      <c r="AJ321" s="20">
        <f t="shared" si="18"/>
        <v>156.9</v>
      </c>
      <c r="AK321" s="20">
        <f t="shared" si="19"/>
        <v>159.21666666666667</v>
      </c>
    </row>
    <row r="322" spans="1:37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148.69999999999999</v>
      </c>
      <c r="F322" s="2">
        <v>198.8</v>
      </c>
      <c r="G322" s="2">
        <v>177.9</v>
      </c>
      <c r="H322" s="2">
        <v>159.9</v>
      </c>
      <c r="I322" s="2">
        <v>187.6</v>
      </c>
      <c r="J322" s="2">
        <v>154.9</v>
      </c>
      <c r="K322" s="2">
        <v>188.3</v>
      </c>
      <c r="L322" s="2">
        <v>164.4</v>
      </c>
      <c r="M322" s="2">
        <v>121</v>
      </c>
      <c r="N322" s="2">
        <v>170.5</v>
      </c>
      <c r="O322" s="2">
        <v>164.2</v>
      </c>
      <c r="P322" s="2">
        <v>176.5</v>
      </c>
      <c r="Q322" s="2">
        <v>168.2</v>
      </c>
      <c r="R322" s="2">
        <v>192.4</v>
      </c>
      <c r="S322" s="2">
        <v>168.5</v>
      </c>
      <c r="T322" s="2">
        <v>158.69999999999999</v>
      </c>
      <c r="U322" s="2">
        <v>167</v>
      </c>
      <c r="V322" s="2">
        <v>163.4</v>
      </c>
      <c r="W322" s="2">
        <v>164.1</v>
      </c>
      <c r="X322" s="2">
        <v>160.19999999999999</v>
      </c>
      <c r="Y322" s="2">
        <v>170.6</v>
      </c>
      <c r="Z322" s="2">
        <v>155.69999999999999</v>
      </c>
      <c r="AA322" s="2">
        <v>160.6</v>
      </c>
      <c r="AB322" s="2">
        <v>164.4</v>
      </c>
      <c r="AC322" s="2">
        <v>162.6</v>
      </c>
      <c r="AD322" s="2">
        <v>162</v>
      </c>
      <c r="AE322" s="2">
        <v>166.2</v>
      </c>
      <c r="AG322" s="20">
        <f t="shared" si="16"/>
        <v>167.76153846153846</v>
      </c>
      <c r="AH322" s="2">
        <v>192.4</v>
      </c>
      <c r="AI322" s="20">
        <f t="shared" si="17"/>
        <v>162.56666666666666</v>
      </c>
      <c r="AJ322" s="20">
        <f t="shared" si="18"/>
        <v>164.73333333333332</v>
      </c>
      <c r="AK322" s="20">
        <f t="shared" si="19"/>
        <v>162.65</v>
      </c>
    </row>
    <row r="323" spans="1:37" ht="15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148.30000000000001</v>
      </c>
      <c r="F323" s="2">
        <v>196.9</v>
      </c>
      <c r="G323" s="2">
        <v>178</v>
      </c>
      <c r="H323" s="2">
        <v>160.5</v>
      </c>
      <c r="I323" s="2">
        <v>192.6</v>
      </c>
      <c r="J323" s="2">
        <v>151.19999999999999</v>
      </c>
      <c r="K323" s="2">
        <v>159.19999999999999</v>
      </c>
      <c r="L323" s="2">
        <v>164</v>
      </c>
      <c r="M323" s="2">
        <v>119.3</v>
      </c>
      <c r="N323" s="2">
        <v>173.3</v>
      </c>
      <c r="O323" s="2">
        <v>169.8</v>
      </c>
      <c r="P323" s="2">
        <v>175.8</v>
      </c>
      <c r="Q323" s="2">
        <v>164.1</v>
      </c>
      <c r="R323" s="2">
        <v>190.7</v>
      </c>
      <c r="S323" s="2">
        <v>173.2</v>
      </c>
      <c r="T323" s="2">
        <v>169.3</v>
      </c>
      <c r="U323" s="2">
        <v>172.7</v>
      </c>
      <c r="V323" s="2">
        <f>VLOOKUP($A323,'Impute housing Missing Value'!$A$1:$C$125,3,0)</f>
        <v>164.5</v>
      </c>
      <c r="W323" s="2">
        <v>165.8</v>
      </c>
      <c r="X323" s="2">
        <v>164.9</v>
      </c>
      <c r="Y323" s="2">
        <v>174.7</v>
      </c>
      <c r="Z323" s="2">
        <v>160.80000000000001</v>
      </c>
      <c r="AA323" s="2">
        <v>164.9</v>
      </c>
      <c r="AB323" s="2">
        <v>169.9</v>
      </c>
      <c r="AC323" s="2">
        <v>163.19999999999999</v>
      </c>
      <c r="AD323" s="2">
        <v>166.6</v>
      </c>
      <c r="AE323" s="2">
        <v>166.4</v>
      </c>
      <c r="AG323" s="20">
        <f t="shared" ref="AG323:AG373" si="30">AVERAGE(E323:Q323)</f>
        <v>165.61538461538461</v>
      </c>
      <c r="AH323" s="2">
        <v>190.7</v>
      </c>
      <c r="AI323" s="20">
        <f t="shared" ref="AI323:AI373" si="31">AVERAGE(V323:X323)</f>
        <v>165.06666666666669</v>
      </c>
      <c r="AJ323" s="20">
        <f t="shared" ref="AJ323:AJ373" si="32">AVERAGE(S323:U323)</f>
        <v>171.73333333333335</v>
      </c>
      <c r="AK323" s="20">
        <f t="shared" ref="AK323:AK373" si="33">AVERAGE(Y323:AD323)</f>
        <v>166.68333333333334</v>
      </c>
    </row>
    <row r="324" spans="1:37" ht="15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152.19999999999999</v>
      </c>
      <c r="F324" s="2">
        <v>202.1</v>
      </c>
      <c r="G324" s="2">
        <v>180.1</v>
      </c>
      <c r="H324" s="2">
        <v>160.4</v>
      </c>
      <c r="I324" s="2">
        <v>171</v>
      </c>
      <c r="J324" s="2">
        <v>156.5</v>
      </c>
      <c r="K324" s="2">
        <v>203.6</v>
      </c>
      <c r="L324" s="2">
        <v>163.80000000000001</v>
      </c>
      <c r="M324" s="2">
        <v>121.3</v>
      </c>
      <c r="N324" s="2">
        <v>169.8</v>
      </c>
      <c r="O324" s="2">
        <v>156.6</v>
      </c>
      <c r="P324" s="2">
        <v>179</v>
      </c>
      <c r="Q324" s="2">
        <v>170.3</v>
      </c>
      <c r="R324" s="2">
        <v>196.4</v>
      </c>
      <c r="S324" s="2">
        <v>164.7</v>
      </c>
      <c r="T324" s="2">
        <v>148.5</v>
      </c>
      <c r="U324" s="2">
        <v>162.19999999999999</v>
      </c>
      <c r="V324" s="2">
        <v>164.5</v>
      </c>
      <c r="W324" s="2">
        <v>161.6</v>
      </c>
      <c r="X324" s="2">
        <v>156.80000000000001</v>
      </c>
      <c r="Y324" s="2">
        <v>166.1</v>
      </c>
      <c r="Z324" s="2">
        <v>152.69999999999999</v>
      </c>
      <c r="AA324" s="2">
        <v>158.4</v>
      </c>
      <c r="AB324" s="2">
        <v>161</v>
      </c>
      <c r="AC324" s="2">
        <v>162.80000000000001</v>
      </c>
      <c r="AD324" s="2">
        <v>158.6</v>
      </c>
      <c r="AE324" s="2">
        <v>165</v>
      </c>
      <c r="AG324" s="20">
        <f t="shared" si="30"/>
        <v>168.2076923076923</v>
      </c>
      <c r="AH324" s="2">
        <v>196.4</v>
      </c>
      <c r="AI324" s="20">
        <f t="shared" si="31"/>
        <v>160.96666666666667</v>
      </c>
      <c r="AJ324" s="20">
        <f t="shared" si="32"/>
        <v>158.46666666666667</v>
      </c>
      <c r="AK324" s="20">
        <f t="shared" si="33"/>
        <v>159.93333333333334</v>
      </c>
    </row>
    <row r="325" spans="1:37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149.5</v>
      </c>
      <c r="F325" s="2">
        <v>198.7</v>
      </c>
      <c r="G325" s="2">
        <v>178.8</v>
      </c>
      <c r="H325" s="2">
        <v>160.5</v>
      </c>
      <c r="I325" s="2">
        <v>184.7</v>
      </c>
      <c r="J325" s="2">
        <v>153.69999999999999</v>
      </c>
      <c r="K325" s="2">
        <v>174.3</v>
      </c>
      <c r="L325" s="2">
        <v>163.9</v>
      </c>
      <c r="M325" s="2">
        <v>120</v>
      </c>
      <c r="N325" s="2">
        <v>172.1</v>
      </c>
      <c r="O325" s="2">
        <v>164.3</v>
      </c>
      <c r="P325" s="2">
        <v>177.3</v>
      </c>
      <c r="Q325" s="2">
        <v>166.4</v>
      </c>
      <c r="R325" s="2">
        <v>192.2</v>
      </c>
      <c r="S325" s="2">
        <v>169.9</v>
      </c>
      <c r="T325" s="2">
        <v>160.69999999999999</v>
      </c>
      <c r="U325" s="2">
        <v>168.5</v>
      </c>
      <c r="V325" s="2">
        <v>164.5</v>
      </c>
      <c r="W325" s="2">
        <v>164.2</v>
      </c>
      <c r="X325" s="2">
        <v>161.1</v>
      </c>
      <c r="Y325" s="2">
        <v>171.4</v>
      </c>
      <c r="Z325" s="2">
        <v>156.5</v>
      </c>
      <c r="AA325" s="2">
        <v>161.19999999999999</v>
      </c>
      <c r="AB325" s="2">
        <v>164.7</v>
      </c>
      <c r="AC325" s="2">
        <v>163</v>
      </c>
      <c r="AD325" s="2">
        <v>162.69999999999999</v>
      </c>
      <c r="AE325" s="2">
        <v>165.7</v>
      </c>
      <c r="AG325" s="20">
        <f t="shared" si="30"/>
        <v>166.47692307692307</v>
      </c>
      <c r="AH325" s="2">
        <v>192.2</v>
      </c>
      <c r="AI325" s="20">
        <f t="shared" si="31"/>
        <v>163.26666666666665</v>
      </c>
      <c r="AJ325" s="20">
        <f t="shared" si="32"/>
        <v>166.36666666666667</v>
      </c>
      <c r="AK325" s="20">
        <f t="shared" si="33"/>
        <v>163.25</v>
      </c>
    </row>
    <row r="326" spans="1:37" ht="15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148.80000000000001</v>
      </c>
      <c r="F326" s="2">
        <v>198.1</v>
      </c>
      <c r="G326" s="2">
        <v>175.5</v>
      </c>
      <c r="H326" s="2">
        <v>160.69999999999999</v>
      </c>
      <c r="I326" s="2">
        <v>192.6</v>
      </c>
      <c r="J326" s="2">
        <v>151.4</v>
      </c>
      <c r="K326" s="2">
        <v>155.19999999999999</v>
      </c>
      <c r="L326" s="2">
        <v>163.9</v>
      </c>
      <c r="M326" s="2">
        <v>118.1</v>
      </c>
      <c r="N326" s="2">
        <v>175.4</v>
      </c>
      <c r="O326" s="2">
        <v>170.5</v>
      </c>
      <c r="P326" s="2">
        <v>176.3</v>
      </c>
      <c r="Q326" s="2">
        <v>163.9</v>
      </c>
      <c r="R326" s="2">
        <v>191.5</v>
      </c>
      <c r="S326" s="2">
        <v>174.1</v>
      </c>
      <c r="T326" s="2">
        <v>171</v>
      </c>
      <c r="U326" s="2">
        <v>173.7</v>
      </c>
      <c r="V326" s="2">
        <f>VLOOKUP($A326,'Impute housing Missing Value'!$A$1:$C$125,3,0)</f>
        <v>165.5</v>
      </c>
      <c r="W326" s="2">
        <v>167.4</v>
      </c>
      <c r="X326" s="2">
        <v>165.7</v>
      </c>
      <c r="Y326" s="2">
        <v>175.3</v>
      </c>
      <c r="Z326" s="2">
        <v>161.19999999999999</v>
      </c>
      <c r="AA326" s="2">
        <v>165.5</v>
      </c>
      <c r="AB326" s="2">
        <v>170.3</v>
      </c>
      <c r="AC326" s="2">
        <v>164.5</v>
      </c>
      <c r="AD326" s="2">
        <v>167.3</v>
      </c>
      <c r="AE326" s="2">
        <v>166.7</v>
      </c>
      <c r="AG326" s="20">
        <f t="shared" si="30"/>
        <v>165.41538461538462</v>
      </c>
      <c r="AH326" s="2">
        <v>191.5</v>
      </c>
      <c r="AI326" s="20">
        <f t="shared" si="31"/>
        <v>166.2</v>
      </c>
      <c r="AJ326" s="20">
        <f t="shared" si="32"/>
        <v>172.93333333333331</v>
      </c>
      <c r="AK326" s="20">
        <f t="shared" si="33"/>
        <v>167.35</v>
      </c>
    </row>
    <row r="327" spans="1:37" ht="15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152.5</v>
      </c>
      <c r="F327" s="2">
        <v>205.2</v>
      </c>
      <c r="G327" s="2">
        <v>176.4</v>
      </c>
      <c r="H327" s="2">
        <v>160.6</v>
      </c>
      <c r="I327" s="2">
        <v>171.5</v>
      </c>
      <c r="J327" s="2">
        <v>156.4</v>
      </c>
      <c r="K327" s="2">
        <v>198</v>
      </c>
      <c r="L327" s="2">
        <v>163.19999999999999</v>
      </c>
      <c r="M327" s="2">
        <v>120.6</v>
      </c>
      <c r="N327" s="2">
        <v>172.2</v>
      </c>
      <c r="O327" s="2">
        <v>156.69999999999999</v>
      </c>
      <c r="P327" s="2">
        <v>180</v>
      </c>
      <c r="Q327" s="2">
        <v>170.2</v>
      </c>
      <c r="R327" s="2">
        <v>196.5</v>
      </c>
      <c r="S327" s="2">
        <v>165.7</v>
      </c>
      <c r="T327" s="2">
        <v>150.4</v>
      </c>
      <c r="U327" s="2">
        <v>163.4</v>
      </c>
      <c r="V327" s="2">
        <v>165.5</v>
      </c>
      <c r="W327" s="2">
        <v>163</v>
      </c>
      <c r="X327" s="2">
        <v>157.4</v>
      </c>
      <c r="Y327" s="2">
        <v>167.2</v>
      </c>
      <c r="Z327" s="2">
        <v>153.1</v>
      </c>
      <c r="AA327" s="2">
        <v>159.5</v>
      </c>
      <c r="AB327" s="2">
        <v>162</v>
      </c>
      <c r="AC327" s="2">
        <v>164.2</v>
      </c>
      <c r="AD327" s="2">
        <v>159.4</v>
      </c>
      <c r="AE327" s="2">
        <v>165.5</v>
      </c>
      <c r="AG327" s="20">
        <f t="shared" si="30"/>
        <v>167.96153846153845</v>
      </c>
      <c r="AH327" s="2">
        <v>196.5</v>
      </c>
      <c r="AI327" s="20">
        <f t="shared" si="31"/>
        <v>161.96666666666667</v>
      </c>
      <c r="AJ327" s="20">
        <f t="shared" si="32"/>
        <v>159.83333333333334</v>
      </c>
      <c r="AK327" s="20">
        <f t="shared" si="33"/>
        <v>160.9</v>
      </c>
    </row>
    <row r="328" spans="1:37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150</v>
      </c>
      <c r="F328" s="2">
        <v>200.6</v>
      </c>
      <c r="G328" s="2">
        <v>175.8</v>
      </c>
      <c r="H328" s="2">
        <v>160.69999999999999</v>
      </c>
      <c r="I328" s="2">
        <v>184.9</v>
      </c>
      <c r="J328" s="2">
        <v>153.69999999999999</v>
      </c>
      <c r="K328" s="2">
        <v>169.7</v>
      </c>
      <c r="L328" s="2">
        <v>163.69999999999999</v>
      </c>
      <c r="M328" s="2">
        <v>118.9</v>
      </c>
      <c r="N328" s="2">
        <v>174.3</v>
      </c>
      <c r="O328" s="2">
        <v>164.7</v>
      </c>
      <c r="P328" s="2">
        <v>178</v>
      </c>
      <c r="Q328" s="2">
        <v>166.2</v>
      </c>
      <c r="R328" s="2">
        <v>192.8</v>
      </c>
      <c r="S328" s="2">
        <v>170.8</v>
      </c>
      <c r="T328" s="2">
        <v>162.4</v>
      </c>
      <c r="U328" s="2">
        <v>169.6</v>
      </c>
      <c r="V328" s="2">
        <v>165.5</v>
      </c>
      <c r="W328" s="2">
        <v>165.7</v>
      </c>
      <c r="X328" s="2">
        <v>161.80000000000001</v>
      </c>
      <c r="Y328" s="2">
        <v>172.2</v>
      </c>
      <c r="Z328" s="2">
        <v>156.9</v>
      </c>
      <c r="AA328" s="2">
        <v>162.1</v>
      </c>
      <c r="AB328" s="2">
        <v>165.4</v>
      </c>
      <c r="AC328" s="2">
        <v>164.4</v>
      </c>
      <c r="AD328" s="2">
        <v>163.5</v>
      </c>
      <c r="AE328" s="2">
        <v>166.1</v>
      </c>
      <c r="AG328" s="20">
        <f t="shared" si="30"/>
        <v>166.24615384615387</v>
      </c>
      <c r="AH328" s="2">
        <v>192.8</v>
      </c>
      <c r="AI328" s="20">
        <f t="shared" si="31"/>
        <v>164.33333333333334</v>
      </c>
      <c r="AJ328" s="20">
        <f t="shared" si="32"/>
        <v>167.60000000000002</v>
      </c>
      <c r="AK328" s="20">
        <f t="shared" si="33"/>
        <v>164.08333333333334</v>
      </c>
    </row>
    <row r="329" spans="1:37" ht="15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150.19999999999999</v>
      </c>
      <c r="F329" s="2">
        <v>208</v>
      </c>
      <c r="G329" s="2">
        <v>167.9</v>
      </c>
      <c r="H329" s="2">
        <v>162</v>
      </c>
      <c r="I329" s="2">
        <v>203.1</v>
      </c>
      <c r="J329" s="2">
        <v>155.9</v>
      </c>
      <c r="K329" s="2">
        <v>155.80000000000001</v>
      </c>
      <c r="L329" s="2">
        <v>164.2</v>
      </c>
      <c r="M329" s="2">
        <v>118.1</v>
      </c>
      <c r="N329" s="2">
        <v>178.7</v>
      </c>
      <c r="O329" s="2">
        <v>171.2</v>
      </c>
      <c r="P329" s="2">
        <v>177.4</v>
      </c>
      <c r="Q329" s="2">
        <v>166.6</v>
      </c>
      <c r="R329" s="2">
        <v>192.3</v>
      </c>
      <c r="S329" s="2">
        <v>175.4</v>
      </c>
      <c r="T329" s="2">
        <v>173.2</v>
      </c>
      <c r="U329" s="2">
        <v>175.1</v>
      </c>
      <c r="V329" s="2">
        <f>VLOOKUP($A329,'Impute housing Missing Value'!$A$1:$C$125,3,0)</f>
        <v>165.3</v>
      </c>
      <c r="W329" s="2">
        <v>168.9</v>
      </c>
      <c r="X329" s="2">
        <v>166.5</v>
      </c>
      <c r="Y329" s="2">
        <v>176</v>
      </c>
      <c r="Z329" s="2">
        <v>162</v>
      </c>
      <c r="AA329" s="2">
        <v>166.6</v>
      </c>
      <c r="AB329" s="2">
        <v>170.6</v>
      </c>
      <c r="AC329" s="2">
        <v>167.4</v>
      </c>
      <c r="AD329" s="2">
        <v>168.3</v>
      </c>
      <c r="AE329" s="2">
        <v>168.7</v>
      </c>
      <c r="AG329" s="20">
        <f t="shared" si="30"/>
        <v>167.62307692307695</v>
      </c>
      <c r="AH329" s="2">
        <v>192.3</v>
      </c>
      <c r="AI329" s="20">
        <f t="shared" si="31"/>
        <v>166.9</v>
      </c>
      <c r="AJ329" s="20">
        <f t="shared" si="32"/>
        <v>174.56666666666669</v>
      </c>
      <c r="AK329" s="20">
        <f t="shared" si="33"/>
        <v>168.48333333333335</v>
      </c>
    </row>
    <row r="330" spans="1:37" ht="15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153.69999999999999</v>
      </c>
      <c r="F330" s="2">
        <v>215.8</v>
      </c>
      <c r="G330" s="2">
        <v>167.7</v>
      </c>
      <c r="H330" s="2">
        <v>162.6</v>
      </c>
      <c r="I330" s="2">
        <v>180</v>
      </c>
      <c r="J330" s="2">
        <v>159.6</v>
      </c>
      <c r="K330" s="2">
        <v>188.4</v>
      </c>
      <c r="L330" s="2">
        <v>163.4</v>
      </c>
      <c r="M330" s="2">
        <v>120.3</v>
      </c>
      <c r="N330" s="2">
        <v>174.7</v>
      </c>
      <c r="O330" s="2">
        <v>157.1</v>
      </c>
      <c r="P330" s="2">
        <v>181.5</v>
      </c>
      <c r="Q330" s="2">
        <v>171.5</v>
      </c>
      <c r="R330" s="2">
        <v>197.5</v>
      </c>
      <c r="S330" s="2">
        <v>167.1</v>
      </c>
      <c r="T330" s="2">
        <v>152.6</v>
      </c>
      <c r="U330" s="2">
        <v>164.9</v>
      </c>
      <c r="V330" s="2">
        <v>165.3</v>
      </c>
      <c r="W330" s="2">
        <v>164.5</v>
      </c>
      <c r="X330" s="2">
        <v>158.6</v>
      </c>
      <c r="Y330" s="2">
        <v>168.2</v>
      </c>
      <c r="Z330" s="2">
        <v>154.19999999999999</v>
      </c>
      <c r="AA330" s="2">
        <v>160.80000000000001</v>
      </c>
      <c r="AB330" s="2">
        <v>162.69999999999999</v>
      </c>
      <c r="AC330" s="2">
        <v>166.8</v>
      </c>
      <c r="AD330" s="2">
        <v>160.6</v>
      </c>
      <c r="AE330" s="2">
        <v>166.5</v>
      </c>
      <c r="AG330" s="20">
        <f t="shared" si="30"/>
        <v>168.94615384615386</v>
      </c>
      <c r="AH330" s="2">
        <v>197.5</v>
      </c>
      <c r="AI330" s="20">
        <f t="shared" si="31"/>
        <v>162.79999999999998</v>
      </c>
      <c r="AJ330" s="20">
        <f t="shared" si="32"/>
        <v>161.53333333333333</v>
      </c>
      <c r="AK330" s="20">
        <f t="shared" si="33"/>
        <v>162.21666666666667</v>
      </c>
    </row>
    <row r="331" spans="1:37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151.30000000000001</v>
      </c>
      <c r="F331" s="2">
        <v>210.7</v>
      </c>
      <c r="G331" s="2">
        <v>167.8</v>
      </c>
      <c r="H331" s="2">
        <v>162.19999999999999</v>
      </c>
      <c r="I331" s="2">
        <v>194.6</v>
      </c>
      <c r="J331" s="2">
        <v>157.6</v>
      </c>
      <c r="K331" s="2">
        <v>166.9</v>
      </c>
      <c r="L331" s="2">
        <v>163.9</v>
      </c>
      <c r="M331" s="2">
        <v>118.8</v>
      </c>
      <c r="N331" s="2">
        <v>177.4</v>
      </c>
      <c r="O331" s="2">
        <v>165.3</v>
      </c>
      <c r="P331" s="2">
        <v>179.3</v>
      </c>
      <c r="Q331" s="2">
        <v>168.4</v>
      </c>
      <c r="R331" s="2">
        <v>193.7</v>
      </c>
      <c r="S331" s="2">
        <v>172.1</v>
      </c>
      <c r="T331" s="2">
        <v>164.6</v>
      </c>
      <c r="U331" s="2">
        <v>171.1</v>
      </c>
      <c r="V331" s="2">
        <v>165.3</v>
      </c>
      <c r="W331" s="2">
        <v>167.2</v>
      </c>
      <c r="X331" s="2">
        <v>162.80000000000001</v>
      </c>
      <c r="Y331" s="2">
        <v>173</v>
      </c>
      <c r="Z331" s="2">
        <v>157.9</v>
      </c>
      <c r="AA331" s="2">
        <v>163.30000000000001</v>
      </c>
      <c r="AB331" s="2">
        <v>166</v>
      </c>
      <c r="AC331" s="2">
        <v>167.2</v>
      </c>
      <c r="AD331" s="2">
        <v>164.6</v>
      </c>
      <c r="AE331" s="2">
        <v>167.7</v>
      </c>
      <c r="AG331" s="20">
        <f t="shared" si="30"/>
        <v>168.01538461538465</v>
      </c>
      <c r="AH331" s="2">
        <v>193.7</v>
      </c>
      <c r="AI331" s="20">
        <f t="shared" si="31"/>
        <v>165.1</v>
      </c>
      <c r="AJ331" s="20">
        <f t="shared" si="32"/>
        <v>169.26666666666665</v>
      </c>
      <c r="AK331" s="20">
        <f t="shared" si="33"/>
        <v>165.33333333333334</v>
      </c>
    </row>
    <row r="332" spans="1:37" ht="15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151.80000000000001</v>
      </c>
      <c r="F332" s="2">
        <v>209.7</v>
      </c>
      <c r="G332" s="2">
        <v>164.5</v>
      </c>
      <c r="H332" s="2">
        <v>163.80000000000001</v>
      </c>
      <c r="I332" s="2">
        <v>207.4</v>
      </c>
      <c r="J332" s="2">
        <v>169.7</v>
      </c>
      <c r="K332" s="2">
        <v>153.6</v>
      </c>
      <c r="L332" s="2">
        <v>165.1</v>
      </c>
      <c r="M332" s="2">
        <v>118.2</v>
      </c>
      <c r="N332" s="2">
        <v>182.9</v>
      </c>
      <c r="O332" s="2">
        <v>172.4</v>
      </c>
      <c r="P332" s="2">
        <v>178.9</v>
      </c>
      <c r="Q332" s="2">
        <v>168.6</v>
      </c>
      <c r="R332" s="2">
        <v>192.8</v>
      </c>
      <c r="S332" s="2">
        <v>177.5</v>
      </c>
      <c r="T332" s="2">
        <v>175.1</v>
      </c>
      <c r="U332" s="2">
        <v>177.1</v>
      </c>
      <c r="V332" s="2">
        <f>VLOOKUP($A332,'Impute housing Missing Value'!$A$1:$C$125,3,0)</f>
        <v>167</v>
      </c>
      <c r="W332" s="2">
        <v>173.3</v>
      </c>
      <c r="X332" s="2">
        <v>167.7</v>
      </c>
      <c r="Y332" s="2">
        <v>177</v>
      </c>
      <c r="Z332" s="2">
        <v>166.2</v>
      </c>
      <c r="AA332" s="2">
        <v>167.2</v>
      </c>
      <c r="AB332" s="2">
        <v>170.9</v>
      </c>
      <c r="AC332" s="2">
        <v>169</v>
      </c>
      <c r="AD332" s="2">
        <v>170.2</v>
      </c>
      <c r="AE332" s="2">
        <v>170.8</v>
      </c>
      <c r="AG332" s="20">
        <f t="shared" si="30"/>
        <v>169.73846153846154</v>
      </c>
      <c r="AH332" s="2">
        <v>192.8</v>
      </c>
      <c r="AI332" s="20">
        <f t="shared" si="31"/>
        <v>169.33333333333334</v>
      </c>
      <c r="AJ332" s="20">
        <f t="shared" si="32"/>
        <v>176.56666666666669</v>
      </c>
      <c r="AK332" s="20">
        <f t="shared" si="33"/>
        <v>170.08333333333334</v>
      </c>
    </row>
    <row r="333" spans="1:37" ht="15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155.4</v>
      </c>
      <c r="F333" s="2">
        <v>215.8</v>
      </c>
      <c r="G333" s="2">
        <v>164.6</v>
      </c>
      <c r="H333" s="2">
        <v>164.2</v>
      </c>
      <c r="I333" s="2">
        <v>186</v>
      </c>
      <c r="J333" s="2">
        <v>175.9</v>
      </c>
      <c r="K333" s="2">
        <v>190.7</v>
      </c>
      <c r="L333" s="2">
        <v>164</v>
      </c>
      <c r="M333" s="2">
        <v>120.5</v>
      </c>
      <c r="N333" s="2">
        <v>178</v>
      </c>
      <c r="O333" s="2">
        <v>157.5</v>
      </c>
      <c r="P333" s="2">
        <v>183.3</v>
      </c>
      <c r="Q333" s="2">
        <v>174.5</v>
      </c>
      <c r="R333" s="2">
        <v>197.1</v>
      </c>
      <c r="S333" s="2">
        <v>168.4</v>
      </c>
      <c r="T333" s="2">
        <v>154.5</v>
      </c>
      <c r="U333" s="2">
        <v>166.3</v>
      </c>
      <c r="V333" s="2">
        <v>167</v>
      </c>
      <c r="W333" s="2">
        <v>170.5</v>
      </c>
      <c r="X333" s="2">
        <v>159.80000000000001</v>
      </c>
      <c r="Y333" s="2">
        <v>169</v>
      </c>
      <c r="Z333" s="2">
        <v>159.30000000000001</v>
      </c>
      <c r="AA333" s="2">
        <v>162.19999999999999</v>
      </c>
      <c r="AB333" s="2">
        <v>164</v>
      </c>
      <c r="AC333" s="2">
        <v>168.4</v>
      </c>
      <c r="AD333" s="2">
        <v>163.1</v>
      </c>
      <c r="AE333" s="2">
        <v>169.2</v>
      </c>
      <c r="AG333" s="20">
        <f t="shared" si="30"/>
        <v>171.56923076923078</v>
      </c>
      <c r="AH333" s="2">
        <v>197.1</v>
      </c>
      <c r="AI333" s="20">
        <f t="shared" si="31"/>
        <v>165.76666666666668</v>
      </c>
      <c r="AJ333" s="20">
        <f t="shared" si="32"/>
        <v>163.06666666666666</v>
      </c>
      <c r="AK333" s="20">
        <f t="shared" si="33"/>
        <v>164.33333333333334</v>
      </c>
    </row>
    <row r="334" spans="1:37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152.9</v>
      </c>
      <c r="F334" s="2">
        <v>211.8</v>
      </c>
      <c r="G334" s="2">
        <v>164.5</v>
      </c>
      <c r="H334" s="2">
        <v>163.9</v>
      </c>
      <c r="I334" s="2">
        <v>199.5</v>
      </c>
      <c r="J334" s="2">
        <v>172.6</v>
      </c>
      <c r="K334" s="2">
        <v>166.2</v>
      </c>
      <c r="L334" s="2">
        <v>164.7</v>
      </c>
      <c r="M334" s="2">
        <v>119</v>
      </c>
      <c r="N334" s="2">
        <v>181.3</v>
      </c>
      <c r="O334" s="2">
        <v>166.2</v>
      </c>
      <c r="P334" s="2">
        <v>180.9</v>
      </c>
      <c r="Q334" s="2">
        <v>170.8</v>
      </c>
      <c r="R334" s="2">
        <v>193.9</v>
      </c>
      <c r="S334" s="2">
        <v>173.9</v>
      </c>
      <c r="T334" s="2">
        <v>166.5</v>
      </c>
      <c r="U334" s="2">
        <v>172.8</v>
      </c>
      <c r="V334" s="2">
        <v>167</v>
      </c>
      <c r="W334" s="2">
        <v>172.2</v>
      </c>
      <c r="X334" s="2">
        <v>164</v>
      </c>
      <c r="Y334" s="2">
        <v>174</v>
      </c>
      <c r="Z334" s="2">
        <v>162.6</v>
      </c>
      <c r="AA334" s="2">
        <v>164.4</v>
      </c>
      <c r="AB334" s="2">
        <v>166.9</v>
      </c>
      <c r="AC334" s="2">
        <v>168.8</v>
      </c>
      <c r="AD334" s="2">
        <v>166.8</v>
      </c>
      <c r="AE334" s="2">
        <v>170.1</v>
      </c>
      <c r="AG334" s="20">
        <f t="shared" si="30"/>
        <v>170.33076923076925</v>
      </c>
      <c r="AH334" s="2">
        <v>193.9</v>
      </c>
      <c r="AI334" s="20">
        <f t="shared" si="31"/>
        <v>167.73333333333332</v>
      </c>
      <c r="AJ334" s="20">
        <f t="shared" si="32"/>
        <v>171.06666666666669</v>
      </c>
      <c r="AK334" s="20">
        <f t="shared" si="33"/>
        <v>167.25</v>
      </c>
    </row>
    <row r="335" spans="1:37" ht="15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152.9</v>
      </c>
      <c r="F335" s="2">
        <v>214.7</v>
      </c>
      <c r="G335" s="2">
        <v>161.4</v>
      </c>
      <c r="H335" s="2">
        <v>164.6</v>
      </c>
      <c r="I335" s="2">
        <v>209.9</v>
      </c>
      <c r="J335" s="2">
        <v>168</v>
      </c>
      <c r="K335" s="2">
        <v>160.4</v>
      </c>
      <c r="L335" s="2">
        <v>165</v>
      </c>
      <c r="M335" s="2">
        <v>118.9</v>
      </c>
      <c r="N335" s="2">
        <v>186.6</v>
      </c>
      <c r="O335" s="2">
        <v>173.2</v>
      </c>
      <c r="P335" s="2">
        <v>180.4</v>
      </c>
      <c r="Q335" s="2">
        <v>170.8</v>
      </c>
      <c r="R335" s="2">
        <v>192.9</v>
      </c>
      <c r="S335" s="2">
        <v>179.3</v>
      </c>
      <c r="T335" s="2">
        <v>177.2</v>
      </c>
      <c r="U335" s="2">
        <v>179</v>
      </c>
      <c r="V335" s="2">
        <f>VLOOKUP($A335,'Impute housing Missing Value'!$A$1:$C$125,3,0)</f>
        <v>167.5</v>
      </c>
      <c r="W335" s="2">
        <v>175.3</v>
      </c>
      <c r="X335" s="2">
        <v>168.9</v>
      </c>
      <c r="Y335" s="2">
        <v>177.7</v>
      </c>
      <c r="Z335" s="2">
        <v>167.1</v>
      </c>
      <c r="AA335" s="2">
        <v>167.6</v>
      </c>
      <c r="AB335" s="2">
        <v>171.8</v>
      </c>
      <c r="AC335" s="2">
        <v>168.5</v>
      </c>
      <c r="AD335" s="2">
        <v>170.9</v>
      </c>
      <c r="AE335" s="2">
        <v>172.5</v>
      </c>
      <c r="AG335" s="20">
        <f t="shared" si="30"/>
        <v>171.2923076923077</v>
      </c>
      <c r="AH335" s="2">
        <v>192.9</v>
      </c>
      <c r="AI335" s="20">
        <f t="shared" si="31"/>
        <v>170.56666666666669</v>
      </c>
      <c r="AJ335" s="20">
        <f t="shared" si="32"/>
        <v>178.5</v>
      </c>
      <c r="AK335" s="20">
        <f t="shared" si="33"/>
        <v>170.6</v>
      </c>
    </row>
    <row r="336" spans="1:37" ht="15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156.69999999999999</v>
      </c>
      <c r="F336" s="2">
        <v>221.2</v>
      </c>
      <c r="G336" s="2">
        <v>164.1</v>
      </c>
      <c r="H336" s="2">
        <v>165.4</v>
      </c>
      <c r="I336" s="2">
        <v>189.5</v>
      </c>
      <c r="J336" s="2">
        <v>174.5</v>
      </c>
      <c r="K336" s="2">
        <v>203.2</v>
      </c>
      <c r="L336" s="2">
        <v>164.1</v>
      </c>
      <c r="M336" s="2">
        <v>121.2</v>
      </c>
      <c r="N336" s="2">
        <v>181.4</v>
      </c>
      <c r="O336" s="2">
        <v>158.5</v>
      </c>
      <c r="P336" s="2">
        <v>184.9</v>
      </c>
      <c r="Q336" s="2">
        <v>177.5</v>
      </c>
      <c r="R336" s="2">
        <v>197.5</v>
      </c>
      <c r="S336" s="2">
        <v>170</v>
      </c>
      <c r="T336" s="2">
        <v>155.9</v>
      </c>
      <c r="U336" s="2">
        <v>167.8</v>
      </c>
      <c r="V336" s="2">
        <v>167.5</v>
      </c>
      <c r="W336" s="2">
        <v>173.5</v>
      </c>
      <c r="X336" s="2">
        <v>161.1</v>
      </c>
      <c r="Y336" s="2">
        <v>170.1</v>
      </c>
      <c r="Z336" s="2">
        <v>159.4</v>
      </c>
      <c r="AA336" s="2">
        <v>163.19999999999999</v>
      </c>
      <c r="AB336" s="2">
        <v>165.2</v>
      </c>
      <c r="AC336" s="2">
        <v>168.2</v>
      </c>
      <c r="AD336" s="2">
        <v>163.80000000000001</v>
      </c>
      <c r="AE336" s="2">
        <v>170.8</v>
      </c>
      <c r="AG336" s="20">
        <f t="shared" si="30"/>
        <v>174.01538461538465</v>
      </c>
      <c r="AH336" s="2">
        <v>197.5</v>
      </c>
      <c r="AI336" s="20">
        <f t="shared" si="31"/>
        <v>167.36666666666667</v>
      </c>
      <c r="AJ336" s="20">
        <f t="shared" si="32"/>
        <v>164.56666666666666</v>
      </c>
      <c r="AK336" s="20">
        <f t="shared" si="33"/>
        <v>164.98333333333332</v>
      </c>
    </row>
    <row r="337" spans="1:37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154.1</v>
      </c>
      <c r="F337" s="2">
        <v>217</v>
      </c>
      <c r="G337" s="2">
        <v>162.4</v>
      </c>
      <c r="H337" s="2">
        <v>164.9</v>
      </c>
      <c r="I337" s="2">
        <v>202.4</v>
      </c>
      <c r="J337" s="2">
        <v>171</v>
      </c>
      <c r="K337" s="2">
        <v>174.9</v>
      </c>
      <c r="L337" s="2">
        <v>164.7</v>
      </c>
      <c r="M337" s="2">
        <v>119.7</v>
      </c>
      <c r="N337" s="2">
        <v>184.9</v>
      </c>
      <c r="O337" s="2">
        <v>167.1</v>
      </c>
      <c r="P337" s="2">
        <v>182.5</v>
      </c>
      <c r="Q337" s="2">
        <v>173.3</v>
      </c>
      <c r="R337" s="2">
        <v>194.1</v>
      </c>
      <c r="S337" s="2">
        <v>175.6</v>
      </c>
      <c r="T337" s="2">
        <v>168.4</v>
      </c>
      <c r="U337" s="2">
        <v>174.6</v>
      </c>
      <c r="V337" s="2">
        <v>167.5</v>
      </c>
      <c r="W337" s="2">
        <v>174.6</v>
      </c>
      <c r="X337" s="2">
        <v>165.2</v>
      </c>
      <c r="Y337" s="2">
        <v>174.8</v>
      </c>
      <c r="Z337" s="2">
        <v>163</v>
      </c>
      <c r="AA337" s="2">
        <v>165.1</v>
      </c>
      <c r="AB337" s="2">
        <v>167.9</v>
      </c>
      <c r="AC337" s="2">
        <v>168.4</v>
      </c>
      <c r="AD337" s="2">
        <v>167.5</v>
      </c>
      <c r="AE337" s="2">
        <v>171.7</v>
      </c>
      <c r="AG337" s="20">
        <f t="shared" si="30"/>
        <v>172.22307692307697</v>
      </c>
      <c r="AH337" s="2">
        <v>194.1</v>
      </c>
      <c r="AI337" s="20">
        <f t="shared" si="31"/>
        <v>169.1</v>
      </c>
      <c r="AJ337" s="20">
        <f t="shared" si="32"/>
        <v>172.86666666666667</v>
      </c>
      <c r="AK337" s="20">
        <f t="shared" si="33"/>
        <v>167.78333333333333</v>
      </c>
    </row>
    <row r="338" spans="1:37" ht="15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153.80000000000001</v>
      </c>
      <c r="F338" s="2">
        <v>217.2</v>
      </c>
      <c r="G338" s="2">
        <v>169.6</v>
      </c>
      <c r="H338" s="2">
        <v>165.4</v>
      </c>
      <c r="I338" s="2">
        <v>208.1</v>
      </c>
      <c r="J338" s="2">
        <v>165.8</v>
      </c>
      <c r="K338" s="2">
        <v>167.3</v>
      </c>
      <c r="L338" s="2">
        <v>164.6</v>
      </c>
      <c r="M338" s="2">
        <v>119.1</v>
      </c>
      <c r="N338" s="2">
        <v>188.9</v>
      </c>
      <c r="O338" s="2">
        <v>174.2</v>
      </c>
      <c r="P338" s="2">
        <v>181.9</v>
      </c>
      <c r="Q338" s="2">
        <v>172.4</v>
      </c>
      <c r="R338" s="2">
        <v>192.9</v>
      </c>
      <c r="S338" s="2">
        <v>180.7</v>
      </c>
      <c r="T338" s="2">
        <v>178.7</v>
      </c>
      <c r="U338" s="2">
        <v>180.4</v>
      </c>
      <c r="V338" s="2">
        <f>VLOOKUP($A338,'Impute housing Missing Value'!$A$1:$C$125,3,0)</f>
        <v>166.8</v>
      </c>
      <c r="W338" s="2">
        <v>176.7</v>
      </c>
      <c r="X338" s="2">
        <v>170.3</v>
      </c>
      <c r="Y338" s="2">
        <v>178.2</v>
      </c>
      <c r="Z338" s="2">
        <v>165.5</v>
      </c>
      <c r="AA338" s="2">
        <v>168</v>
      </c>
      <c r="AB338" s="2">
        <v>172.6</v>
      </c>
      <c r="AC338" s="2">
        <v>169.5</v>
      </c>
      <c r="AD338" s="2">
        <v>171</v>
      </c>
      <c r="AE338" s="2">
        <v>173.6</v>
      </c>
      <c r="AG338" s="20">
        <f t="shared" si="30"/>
        <v>172.94615384615386</v>
      </c>
      <c r="AH338" s="2">
        <v>192.9</v>
      </c>
      <c r="AI338" s="20">
        <f t="shared" si="31"/>
        <v>171.26666666666665</v>
      </c>
      <c r="AJ338" s="20">
        <f t="shared" si="32"/>
        <v>179.93333333333331</v>
      </c>
      <c r="AK338" s="20">
        <f t="shared" si="33"/>
        <v>170.79999999999998</v>
      </c>
    </row>
    <row r="339" spans="1:37" ht="15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157.5</v>
      </c>
      <c r="F339" s="2">
        <v>223.4</v>
      </c>
      <c r="G339" s="2">
        <v>172.8</v>
      </c>
      <c r="H339" s="2">
        <v>166.4</v>
      </c>
      <c r="I339" s="2">
        <v>188.6</v>
      </c>
      <c r="J339" s="2">
        <v>174.1</v>
      </c>
      <c r="K339" s="2">
        <v>211.5</v>
      </c>
      <c r="L339" s="2">
        <v>163.6</v>
      </c>
      <c r="M339" s="2">
        <v>121.4</v>
      </c>
      <c r="N339" s="2">
        <v>183.5</v>
      </c>
      <c r="O339" s="2">
        <v>159.1</v>
      </c>
      <c r="P339" s="2">
        <v>186.3</v>
      </c>
      <c r="Q339" s="2">
        <v>179.3</v>
      </c>
      <c r="R339" s="2">
        <v>198.3</v>
      </c>
      <c r="S339" s="2">
        <v>171.6</v>
      </c>
      <c r="T339" s="2">
        <v>157.4</v>
      </c>
      <c r="U339" s="2">
        <v>169.4</v>
      </c>
      <c r="V339" s="2">
        <v>166.8</v>
      </c>
      <c r="W339" s="2">
        <v>174.9</v>
      </c>
      <c r="X339" s="2">
        <v>162.1</v>
      </c>
      <c r="Y339" s="2">
        <v>170.9</v>
      </c>
      <c r="Z339" s="2">
        <v>157.19999999999999</v>
      </c>
      <c r="AA339" s="2">
        <v>164.1</v>
      </c>
      <c r="AB339" s="2">
        <v>166.5</v>
      </c>
      <c r="AC339" s="2">
        <v>169.2</v>
      </c>
      <c r="AD339" s="2">
        <v>163.80000000000001</v>
      </c>
      <c r="AE339" s="2">
        <v>171.4</v>
      </c>
      <c r="AG339" s="20">
        <f t="shared" si="30"/>
        <v>175.96153846153845</v>
      </c>
      <c r="AH339" s="2">
        <v>198.3</v>
      </c>
      <c r="AI339" s="20">
        <f t="shared" si="31"/>
        <v>167.93333333333337</v>
      </c>
      <c r="AJ339" s="20">
        <f t="shared" si="32"/>
        <v>166.13333333333333</v>
      </c>
      <c r="AK339" s="20">
        <f t="shared" si="33"/>
        <v>165.28333333333333</v>
      </c>
    </row>
    <row r="340" spans="1:37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155</v>
      </c>
      <c r="F340" s="2">
        <v>219.4</v>
      </c>
      <c r="G340" s="2">
        <v>170.8</v>
      </c>
      <c r="H340" s="2">
        <v>165.8</v>
      </c>
      <c r="I340" s="2">
        <v>200.9</v>
      </c>
      <c r="J340" s="2">
        <v>169.7</v>
      </c>
      <c r="K340" s="2">
        <v>182.3</v>
      </c>
      <c r="L340" s="2">
        <v>164.3</v>
      </c>
      <c r="M340" s="2">
        <v>119.9</v>
      </c>
      <c r="N340" s="2">
        <v>187.1</v>
      </c>
      <c r="O340" s="2">
        <v>167.9</v>
      </c>
      <c r="P340" s="2">
        <v>183.9</v>
      </c>
      <c r="Q340" s="2">
        <v>174.9</v>
      </c>
      <c r="R340" s="2">
        <v>194.3</v>
      </c>
      <c r="S340" s="2">
        <v>177.1</v>
      </c>
      <c r="T340" s="2">
        <v>169.9</v>
      </c>
      <c r="U340" s="2">
        <v>176</v>
      </c>
      <c r="V340" s="2">
        <v>166.8</v>
      </c>
      <c r="W340" s="2">
        <v>176</v>
      </c>
      <c r="X340" s="2">
        <v>166.4</v>
      </c>
      <c r="Y340" s="2">
        <v>175.4</v>
      </c>
      <c r="Z340" s="2">
        <v>161.1</v>
      </c>
      <c r="AA340" s="2">
        <v>165.8</v>
      </c>
      <c r="AB340" s="2">
        <v>169</v>
      </c>
      <c r="AC340" s="2">
        <v>169.4</v>
      </c>
      <c r="AD340" s="2">
        <v>167.5</v>
      </c>
      <c r="AE340" s="2">
        <v>172.6</v>
      </c>
      <c r="AG340" s="20">
        <f t="shared" si="30"/>
        <v>173.99230769230769</v>
      </c>
      <c r="AH340" s="2">
        <v>194.3</v>
      </c>
      <c r="AI340" s="20">
        <f t="shared" si="31"/>
        <v>169.73333333333335</v>
      </c>
      <c r="AJ340" s="20">
        <f t="shared" si="32"/>
        <v>174.33333333333334</v>
      </c>
      <c r="AK340" s="20">
        <f t="shared" si="33"/>
        <v>168.03333333333333</v>
      </c>
    </row>
    <row r="341" spans="1:37" ht="15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155.19999999999999</v>
      </c>
      <c r="F341" s="2">
        <v>210.8</v>
      </c>
      <c r="G341" s="2">
        <v>174.3</v>
      </c>
      <c r="H341" s="2">
        <v>166.3</v>
      </c>
      <c r="I341" s="2">
        <v>202.2</v>
      </c>
      <c r="J341" s="2">
        <v>169.6</v>
      </c>
      <c r="K341" s="2">
        <v>168.6</v>
      </c>
      <c r="L341" s="2">
        <v>164.4</v>
      </c>
      <c r="M341" s="2">
        <v>119.2</v>
      </c>
      <c r="N341" s="2">
        <v>191.8</v>
      </c>
      <c r="O341" s="2">
        <v>174.5</v>
      </c>
      <c r="P341" s="2">
        <v>183.1</v>
      </c>
      <c r="Q341" s="2">
        <v>172.5</v>
      </c>
      <c r="R341" s="2">
        <v>193.2</v>
      </c>
      <c r="S341" s="2">
        <v>182</v>
      </c>
      <c r="T341" s="2">
        <v>180.3</v>
      </c>
      <c r="U341" s="2">
        <v>181.7</v>
      </c>
      <c r="V341" s="2">
        <f>VLOOKUP($A341,'Impute housing Missing Value'!$A$1:$C$125,3,0)</f>
        <v>167.8</v>
      </c>
      <c r="W341" s="2">
        <v>179.6</v>
      </c>
      <c r="X341" s="2">
        <v>171.3</v>
      </c>
      <c r="Y341" s="2">
        <v>178.8</v>
      </c>
      <c r="Z341" s="2">
        <v>166.3</v>
      </c>
      <c r="AA341" s="2">
        <v>168.6</v>
      </c>
      <c r="AB341" s="2">
        <v>174.7</v>
      </c>
      <c r="AC341" s="2">
        <v>169.7</v>
      </c>
      <c r="AD341" s="2">
        <v>171.8</v>
      </c>
      <c r="AE341" s="2">
        <v>174.3</v>
      </c>
      <c r="AG341" s="20">
        <f t="shared" si="30"/>
        <v>173.26923076923077</v>
      </c>
      <c r="AH341" s="2">
        <v>193.2</v>
      </c>
      <c r="AI341" s="20">
        <f t="shared" si="31"/>
        <v>172.9</v>
      </c>
      <c r="AJ341" s="20">
        <f t="shared" si="32"/>
        <v>181.33333333333334</v>
      </c>
      <c r="AK341" s="20">
        <f t="shared" si="33"/>
        <v>171.65</v>
      </c>
    </row>
    <row r="342" spans="1:37" ht="15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159.30000000000001</v>
      </c>
      <c r="F342" s="2">
        <v>217.1</v>
      </c>
      <c r="G342" s="2">
        <v>176.6</v>
      </c>
      <c r="H342" s="2">
        <v>167.1</v>
      </c>
      <c r="I342" s="2">
        <v>184.8</v>
      </c>
      <c r="J342" s="2">
        <v>179.5</v>
      </c>
      <c r="K342" s="2">
        <v>208.5</v>
      </c>
      <c r="L342" s="2">
        <v>164</v>
      </c>
      <c r="M342" s="2">
        <v>121.5</v>
      </c>
      <c r="N342" s="2">
        <v>186.3</v>
      </c>
      <c r="O342" s="2">
        <v>159.80000000000001</v>
      </c>
      <c r="P342" s="2">
        <v>187.7</v>
      </c>
      <c r="Q342" s="2">
        <v>179.4</v>
      </c>
      <c r="R342" s="2">
        <v>198.6</v>
      </c>
      <c r="S342" s="2">
        <v>172.7</v>
      </c>
      <c r="T342" s="2">
        <v>158.69999999999999</v>
      </c>
      <c r="U342" s="2">
        <v>170.6</v>
      </c>
      <c r="V342" s="2">
        <v>167.8</v>
      </c>
      <c r="W342" s="2">
        <v>179.5</v>
      </c>
      <c r="X342" s="2">
        <v>163.1</v>
      </c>
      <c r="Y342" s="2">
        <v>171.7</v>
      </c>
      <c r="Z342" s="2">
        <v>157.4</v>
      </c>
      <c r="AA342" s="2">
        <v>164.6</v>
      </c>
      <c r="AB342" s="2">
        <v>169.1</v>
      </c>
      <c r="AC342" s="2">
        <v>169.8</v>
      </c>
      <c r="AD342" s="2">
        <v>164.7</v>
      </c>
      <c r="AE342" s="2">
        <v>172.3</v>
      </c>
      <c r="AG342" s="20">
        <f t="shared" si="30"/>
        <v>176.27692307692308</v>
      </c>
      <c r="AH342" s="2">
        <v>198.6</v>
      </c>
      <c r="AI342" s="20">
        <f t="shared" si="31"/>
        <v>170.13333333333333</v>
      </c>
      <c r="AJ342" s="20">
        <f t="shared" si="32"/>
        <v>167.33333333333334</v>
      </c>
      <c r="AK342" s="20">
        <f t="shared" si="33"/>
        <v>166.2166666666667</v>
      </c>
    </row>
    <row r="343" spans="1:37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156.5</v>
      </c>
      <c r="F343" s="2">
        <v>213</v>
      </c>
      <c r="G343" s="2">
        <v>175.2</v>
      </c>
      <c r="H343" s="2">
        <v>166.6</v>
      </c>
      <c r="I343" s="2">
        <v>195.8</v>
      </c>
      <c r="J343" s="2">
        <v>174.2</v>
      </c>
      <c r="K343" s="2">
        <v>182.1</v>
      </c>
      <c r="L343" s="2">
        <v>164.3</v>
      </c>
      <c r="M343" s="2">
        <v>120</v>
      </c>
      <c r="N343" s="2">
        <v>190</v>
      </c>
      <c r="O343" s="2">
        <v>168.4</v>
      </c>
      <c r="P343" s="2">
        <v>185.2</v>
      </c>
      <c r="Q343" s="2">
        <v>175</v>
      </c>
      <c r="R343" s="2">
        <v>194.6</v>
      </c>
      <c r="S343" s="2">
        <v>178.3</v>
      </c>
      <c r="T343" s="2">
        <v>171.3</v>
      </c>
      <c r="U343" s="2">
        <v>177.3</v>
      </c>
      <c r="V343" s="2">
        <v>167.8</v>
      </c>
      <c r="W343" s="2">
        <v>179.6</v>
      </c>
      <c r="X343" s="2">
        <v>167.4</v>
      </c>
      <c r="Y343" s="2">
        <v>176.1</v>
      </c>
      <c r="Z343" s="2">
        <v>161.6</v>
      </c>
      <c r="AA343" s="2">
        <v>166.3</v>
      </c>
      <c r="AB343" s="2">
        <v>171.4</v>
      </c>
      <c r="AC343" s="2">
        <v>169.7</v>
      </c>
      <c r="AD343" s="2">
        <v>168.4</v>
      </c>
      <c r="AE343" s="2">
        <v>173.4</v>
      </c>
      <c r="AG343" s="20">
        <f t="shared" si="30"/>
        <v>174.33076923076925</v>
      </c>
      <c r="AH343" s="2">
        <v>194.6</v>
      </c>
      <c r="AI343" s="20">
        <f t="shared" si="31"/>
        <v>171.6</v>
      </c>
      <c r="AJ343" s="20">
        <f t="shared" si="32"/>
        <v>175.63333333333335</v>
      </c>
      <c r="AK343" s="20">
        <f t="shared" si="33"/>
        <v>168.91666666666666</v>
      </c>
    </row>
    <row r="344" spans="1:37" ht="15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159.5</v>
      </c>
      <c r="F344" s="2">
        <v>204.1</v>
      </c>
      <c r="G344" s="2">
        <v>168.3</v>
      </c>
      <c r="H344" s="2">
        <v>167.9</v>
      </c>
      <c r="I344" s="2">
        <v>198.1</v>
      </c>
      <c r="J344" s="2">
        <v>169.2</v>
      </c>
      <c r="K344" s="2">
        <v>173.1</v>
      </c>
      <c r="L344" s="2">
        <v>167.1</v>
      </c>
      <c r="M344" s="2">
        <v>120.2</v>
      </c>
      <c r="N344" s="2">
        <v>195.6</v>
      </c>
      <c r="O344" s="2">
        <v>174.8</v>
      </c>
      <c r="P344" s="2">
        <v>184</v>
      </c>
      <c r="Q344" s="2">
        <v>173.9</v>
      </c>
      <c r="R344" s="2">
        <v>193.7</v>
      </c>
      <c r="S344" s="2">
        <v>183.2</v>
      </c>
      <c r="T344" s="2">
        <v>181.7</v>
      </c>
      <c r="U344" s="2">
        <v>183</v>
      </c>
      <c r="V344" s="2">
        <f>VLOOKUP($A344,'Impute housing Missing Value'!$A$1:$C$125,3,0)</f>
        <v>169</v>
      </c>
      <c r="W344" s="2">
        <v>179.1</v>
      </c>
      <c r="X344" s="2">
        <v>172.3</v>
      </c>
      <c r="Y344" s="2">
        <v>179.4</v>
      </c>
      <c r="Z344" s="2">
        <v>166.6</v>
      </c>
      <c r="AA344" s="2">
        <v>169.3</v>
      </c>
      <c r="AB344" s="2">
        <v>175.7</v>
      </c>
      <c r="AC344" s="2">
        <v>171.1</v>
      </c>
      <c r="AD344" s="2">
        <v>172.6</v>
      </c>
      <c r="AE344" s="2">
        <v>175.3</v>
      </c>
      <c r="AG344" s="20">
        <f t="shared" si="30"/>
        <v>173.5230769230769</v>
      </c>
      <c r="AH344" s="2">
        <v>193.7</v>
      </c>
      <c r="AI344" s="20">
        <f t="shared" si="31"/>
        <v>173.4666666666667</v>
      </c>
      <c r="AJ344" s="20">
        <f t="shared" si="32"/>
        <v>182.63333333333333</v>
      </c>
      <c r="AK344" s="20">
        <f t="shared" si="33"/>
        <v>172.45000000000002</v>
      </c>
    </row>
    <row r="345" spans="1:37" ht="15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162.1</v>
      </c>
      <c r="F345" s="2">
        <v>210.9</v>
      </c>
      <c r="G345" s="2">
        <v>170.6</v>
      </c>
      <c r="H345" s="2">
        <v>168.4</v>
      </c>
      <c r="I345" s="2">
        <v>182.5</v>
      </c>
      <c r="J345" s="2">
        <v>177.1</v>
      </c>
      <c r="K345" s="2">
        <v>213.1</v>
      </c>
      <c r="L345" s="2">
        <v>167.3</v>
      </c>
      <c r="M345" s="2">
        <v>122.2</v>
      </c>
      <c r="N345" s="2">
        <v>189.7</v>
      </c>
      <c r="O345" s="2">
        <v>160.5</v>
      </c>
      <c r="P345" s="2">
        <v>188.9</v>
      </c>
      <c r="Q345" s="2">
        <v>180.4</v>
      </c>
      <c r="R345" s="2">
        <v>198.7</v>
      </c>
      <c r="S345" s="2">
        <v>173.7</v>
      </c>
      <c r="T345" s="2">
        <v>160</v>
      </c>
      <c r="U345" s="2">
        <v>171.6</v>
      </c>
      <c r="V345" s="2">
        <v>169</v>
      </c>
      <c r="W345" s="2">
        <v>178.4</v>
      </c>
      <c r="X345" s="2">
        <v>164.2</v>
      </c>
      <c r="Y345" s="2">
        <v>172.6</v>
      </c>
      <c r="Z345" s="2">
        <v>157.69999999999999</v>
      </c>
      <c r="AA345" s="2">
        <v>165.1</v>
      </c>
      <c r="AB345" s="2">
        <v>169.9</v>
      </c>
      <c r="AC345" s="2">
        <v>171.4</v>
      </c>
      <c r="AD345" s="2">
        <v>165.4</v>
      </c>
      <c r="AE345" s="2">
        <v>173.1</v>
      </c>
      <c r="AG345" s="20">
        <f t="shared" si="30"/>
        <v>176.43846153846152</v>
      </c>
      <c r="AH345" s="2">
        <v>198.7</v>
      </c>
      <c r="AI345" s="20">
        <f t="shared" si="31"/>
        <v>170.53333333333333</v>
      </c>
      <c r="AJ345" s="20">
        <f t="shared" si="32"/>
        <v>168.43333333333331</v>
      </c>
      <c r="AK345" s="20">
        <f t="shared" si="33"/>
        <v>167.01666666666665</v>
      </c>
    </row>
    <row r="346" spans="1:37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160.30000000000001</v>
      </c>
      <c r="F346" s="2">
        <v>206.5</v>
      </c>
      <c r="G346" s="2">
        <v>169.2</v>
      </c>
      <c r="H346" s="2">
        <v>168.1</v>
      </c>
      <c r="I346" s="2">
        <v>192.4</v>
      </c>
      <c r="J346" s="2">
        <v>172.9</v>
      </c>
      <c r="K346" s="2">
        <v>186.7</v>
      </c>
      <c r="L346" s="2">
        <v>167.2</v>
      </c>
      <c r="M346" s="2">
        <v>120.9</v>
      </c>
      <c r="N346" s="2">
        <v>193.6</v>
      </c>
      <c r="O346" s="2">
        <v>168.8</v>
      </c>
      <c r="P346" s="2">
        <v>186.3</v>
      </c>
      <c r="Q346" s="2">
        <v>176.3</v>
      </c>
      <c r="R346" s="2">
        <v>195</v>
      </c>
      <c r="S346" s="2">
        <v>179.5</v>
      </c>
      <c r="T346" s="2">
        <v>172.7</v>
      </c>
      <c r="U346" s="2">
        <v>178.5</v>
      </c>
      <c r="V346" s="2">
        <v>169</v>
      </c>
      <c r="W346" s="2">
        <v>178.8</v>
      </c>
      <c r="X346" s="2">
        <v>168.5</v>
      </c>
      <c r="Y346" s="2">
        <v>176.8</v>
      </c>
      <c r="Z346" s="2">
        <v>161.9</v>
      </c>
      <c r="AA346" s="2">
        <v>166.9</v>
      </c>
      <c r="AB346" s="2">
        <v>172.3</v>
      </c>
      <c r="AC346" s="2">
        <v>171.2</v>
      </c>
      <c r="AD346" s="2">
        <v>169.1</v>
      </c>
      <c r="AE346" s="2">
        <v>174.3</v>
      </c>
      <c r="AG346" s="20">
        <f t="shared" si="30"/>
        <v>174.55384615384617</v>
      </c>
      <c r="AH346" s="2">
        <v>195</v>
      </c>
      <c r="AI346" s="20">
        <f t="shared" si="31"/>
        <v>172.1</v>
      </c>
      <c r="AJ346" s="20">
        <f t="shared" si="32"/>
        <v>176.9</v>
      </c>
      <c r="AK346" s="20">
        <f t="shared" si="33"/>
        <v>169.70000000000002</v>
      </c>
    </row>
    <row r="347" spans="1:37" ht="26.5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162.9</v>
      </c>
      <c r="F347" s="2">
        <v>206.7</v>
      </c>
      <c r="G347" s="2">
        <v>169</v>
      </c>
      <c r="H347" s="2">
        <v>169.5</v>
      </c>
      <c r="I347" s="2">
        <v>194.1</v>
      </c>
      <c r="J347" s="2">
        <v>164.1</v>
      </c>
      <c r="K347" s="2">
        <v>176.9</v>
      </c>
      <c r="L347" s="2">
        <v>169</v>
      </c>
      <c r="M347" s="2">
        <v>120.8</v>
      </c>
      <c r="N347" s="2">
        <v>199.1</v>
      </c>
      <c r="O347" s="2">
        <v>175.4</v>
      </c>
      <c r="P347" s="2">
        <v>184.8</v>
      </c>
      <c r="Q347" s="2">
        <v>175.5</v>
      </c>
      <c r="R347" s="2">
        <v>194.5</v>
      </c>
      <c r="S347" s="2">
        <v>184.7</v>
      </c>
      <c r="T347" s="2">
        <v>183.3</v>
      </c>
      <c r="U347" s="2">
        <v>184.5</v>
      </c>
      <c r="V347" s="2">
        <f>VLOOKUP($A347,'Impute housing Missing Value'!$A$1:$C$125,3,0)</f>
        <v>169.5</v>
      </c>
      <c r="W347" s="2">
        <v>179.7</v>
      </c>
      <c r="X347" s="2">
        <v>173.6</v>
      </c>
      <c r="Y347" s="2">
        <v>180.2</v>
      </c>
      <c r="Z347" s="2">
        <v>166.9</v>
      </c>
      <c r="AA347" s="2">
        <v>170</v>
      </c>
      <c r="AB347" s="2">
        <v>176.2</v>
      </c>
      <c r="AC347" s="2">
        <v>170.8</v>
      </c>
      <c r="AD347" s="2">
        <v>173.1</v>
      </c>
      <c r="AE347" s="2">
        <v>176.4</v>
      </c>
      <c r="AG347" s="20">
        <f t="shared" si="30"/>
        <v>174.44615384615386</v>
      </c>
      <c r="AH347" s="2">
        <v>194.5</v>
      </c>
      <c r="AI347" s="20">
        <f t="shared" si="31"/>
        <v>174.26666666666665</v>
      </c>
      <c r="AJ347" s="20">
        <f t="shared" si="32"/>
        <v>184.16666666666666</v>
      </c>
      <c r="AK347" s="20">
        <f t="shared" si="33"/>
        <v>172.86666666666665</v>
      </c>
    </row>
    <row r="348" spans="1:37" ht="26.5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164.9</v>
      </c>
      <c r="F348" s="2">
        <v>213.7</v>
      </c>
      <c r="G348" s="2">
        <v>170.9</v>
      </c>
      <c r="H348" s="2">
        <v>170.1</v>
      </c>
      <c r="I348" s="2">
        <v>179.3</v>
      </c>
      <c r="J348" s="2">
        <v>167.5</v>
      </c>
      <c r="K348" s="2">
        <v>220.8</v>
      </c>
      <c r="L348" s="2">
        <v>169.2</v>
      </c>
      <c r="M348" s="2">
        <v>123.1</v>
      </c>
      <c r="N348" s="2">
        <v>193.6</v>
      </c>
      <c r="O348" s="2">
        <v>161.1</v>
      </c>
      <c r="P348" s="2">
        <v>190.4</v>
      </c>
      <c r="Q348" s="2">
        <v>181.8</v>
      </c>
      <c r="R348" s="2">
        <v>199.7</v>
      </c>
      <c r="S348" s="2">
        <v>175</v>
      </c>
      <c r="T348" s="2">
        <v>161.69999999999999</v>
      </c>
      <c r="U348" s="2">
        <v>173</v>
      </c>
      <c r="V348" s="2">
        <v>169.5</v>
      </c>
      <c r="W348" s="2">
        <v>179.2</v>
      </c>
      <c r="X348" s="2">
        <v>165</v>
      </c>
      <c r="Y348" s="2">
        <v>173.8</v>
      </c>
      <c r="Z348" s="2">
        <v>158.19999999999999</v>
      </c>
      <c r="AA348" s="2">
        <v>165.8</v>
      </c>
      <c r="AB348" s="2">
        <v>170.9</v>
      </c>
      <c r="AC348" s="2">
        <v>171.1</v>
      </c>
      <c r="AD348" s="2">
        <v>166.1</v>
      </c>
      <c r="AE348" s="2">
        <v>174.1</v>
      </c>
      <c r="AG348" s="20">
        <f t="shared" si="30"/>
        <v>177.41538461538462</v>
      </c>
      <c r="AH348" s="2">
        <v>199.7</v>
      </c>
      <c r="AI348" s="20">
        <f t="shared" si="31"/>
        <v>171.23333333333335</v>
      </c>
      <c r="AJ348" s="20">
        <f t="shared" si="32"/>
        <v>169.9</v>
      </c>
      <c r="AK348" s="20">
        <f t="shared" si="33"/>
        <v>167.65</v>
      </c>
    </row>
    <row r="349" spans="1:37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163.5</v>
      </c>
      <c r="F349" s="2">
        <v>209.2</v>
      </c>
      <c r="G349" s="2">
        <v>169.7</v>
      </c>
      <c r="H349" s="2">
        <v>169.7</v>
      </c>
      <c r="I349" s="2">
        <v>188.7</v>
      </c>
      <c r="J349" s="2">
        <v>165.7</v>
      </c>
      <c r="K349" s="2">
        <v>191.8</v>
      </c>
      <c r="L349" s="2">
        <v>169.1</v>
      </c>
      <c r="M349" s="2">
        <v>121.6</v>
      </c>
      <c r="N349" s="2">
        <v>197.3</v>
      </c>
      <c r="O349" s="2">
        <v>169.4</v>
      </c>
      <c r="P349" s="2">
        <v>187.4</v>
      </c>
      <c r="Q349" s="2">
        <v>177.8</v>
      </c>
      <c r="R349" s="2">
        <v>195.9</v>
      </c>
      <c r="S349" s="2">
        <v>180.9</v>
      </c>
      <c r="T349" s="2">
        <v>174.3</v>
      </c>
      <c r="U349" s="2">
        <v>179.9</v>
      </c>
      <c r="V349" s="2">
        <v>169.5</v>
      </c>
      <c r="W349" s="2">
        <v>179.5</v>
      </c>
      <c r="X349" s="2">
        <v>169.5</v>
      </c>
      <c r="Y349" s="2">
        <v>177.8</v>
      </c>
      <c r="Z349" s="2">
        <v>162.30000000000001</v>
      </c>
      <c r="AA349" s="2">
        <v>167.6</v>
      </c>
      <c r="AB349" s="2">
        <v>173.1</v>
      </c>
      <c r="AC349" s="2">
        <v>170.9</v>
      </c>
      <c r="AD349" s="2">
        <v>169.7</v>
      </c>
      <c r="AE349" s="2">
        <v>175.3</v>
      </c>
      <c r="AG349" s="20">
        <f t="shared" si="30"/>
        <v>175.45384615384617</v>
      </c>
      <c r="AH349" s="2">
        <v>195.9</v>
      </c>
      <c r="AI349" s="20">
        <f t="shared" si="31"/>
        <v>172.83333333333334</v>
      </c>
      <c r="AJ349" s="20">
        <f t="shared" si="32"/>
        <v>178.36666666666667</v>
      </c>
      <c r="AK349" s="20">
        <f t="shared" si="33"/>
        <v>170.23333333333335</v>
      </c>
    </row>
    <row r="350" spans="1:37" ht="15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164.7</v>
      </c>
      <c r="F350" s="2">
        <v>208.8</v>
      </c>
      <c r="G350" s="2">
        <v>170.3</v>
      </c>
      <c r="H350" s="2">
        <v>170.9</v>
      </c>
      <c r="I350" s="2">
        <v>191.6</v>
      </c>
      <c r="J350" s="2">
        <v>162.19999999999999</v>
      </c>
      <c r="K350" s="2">
        <v>184.8</v>
      </c>
      <c r="L350" s="2">
        <v>169.7</v>
      </c>
      <c r="M350" s="2">
        <v>121.1</v>
      </c>
      <c r="N350" s="2">
        <v>201.6</v>
      </c>
      <c r="O350" s="2">
        <v>175.8</v>
      </c>
      <c r="P350" s="2">
        <v>185.6</v>
      </c>
      <c r="Q350" s="2">
        <v>177.4</v>
      </c>
      <c r="R350" s="2">
        <v>194.9</v>
      </c>
      <c r="S350" s="2">
        <v>186.1</v>
      </c>
      <c r="T350" s="2">
        <v>184.4</v>
      </c>
      <c r="U350" s="2">
        <v>185.9</v>
      </c>
      <c r="V350" s="2">
        <f>VLOOKUP($A350,'Impute housing Missing Value'!$A$1:$C$125,3,0)</f>
        <v>171.2</v>
      </c>
      <c r="W350" s="2">
        <v>180.8</v>
      </c>
      <c r="X350" s="2">
        <v>174.4</v>
      </c>
      <c r="Y350" s="2">
        <v>181.2</v>
      </c>
      <c r="Z350" s="2">
        <v>167.4</v>
      </c>
      <c r="AA350" s="2">
        <v>170.6</v>
      </c>
      <c r="AB350" s="2">
        <v>176.5</v>
      </c>
      <c r="AC350" s="2">
        <v>172</v>
      </c>
      <c r="AD350" s="2">
        <v>173.9</v>
      </c>
      <c r="AE350" s="2">
        <v>177.9</v>
      </c>
      <c r="AG350" s="20">
        <f t="shared" si="30"/>
        <v>175.73076923076923</v>
      </c>
      <c r="AH350" s="2">
        <v>194.9</v>
      </c>
      <c r="AI350" s="20">
        <f t="shared" si="31"/>
        <v>175.46666666666667</v>
      </c>
      <c r="AJ350" s="20">
        <f t="shared" si="32"/>
        <v>185.46666666666667</v>
      </c>
      <c r="AK350" s="20">
        <f t="shared" si="33"/>
        <v>173.60000000000002</v>
      </c>
    </row>
    <row r="351" spans="1:37" ht="15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166.4</v>
      </c>
      <c r="F351" s="2">
        <v>214.9</v>
      </c>
      <c r="G351" s="2">
        <v>171.9</v>
      </c>
      <c r="H351" s="2">
        <v>171</v>
      </c>
      <c r="I351" s="2">
        <v>177.7</v>
      </c>
      <c r="J351" s="2">
        <v>165.7</v>
      </c>
      <c r="K351" s="2">
        <v>228.6</v>
      </c>
      <c r="L351" s="2">
        <v>169.9</v>
      </c>
      <c r="M351" s="2">
        <v>123.4</v>
      </c>
      <c r="N351" s="2">
        <v>196.4</v>
      </c>
      <c r="O351" s="2">
        <v>161.6</v>
      </c>
      <c r="P351" s="2">
        <v>191.5</v>
      </c>
      <c r="Q351" s="2">
        <v>183.3</v>
      </c>
      <c r="R351" s="2">
        <v>200.1</v>
      </c>
      <c r="S351" s="2">
        <v>175.5</v>
      </c>
      <c r="T351" s="2">
        <v>162.6</v>
      </c>
      <c r="U351" s="2">
        <v>173.6</v>
      </c>
      <c r="V351" s="2">
        <v>171.2</v>
      </c>
      <c r="W351" s="2">
        <v>180</v>
      </c>
      <c r="X351" s="2">
        <v>166</v>
      </c>
      <c r="Y351" s="2">
        <v>174.7</v>
      </c>
      <c r="Z351" s="2">
        <v>158.80000000000001</v>
      </c>
      <c r="AA351" s="2">
        <v>166.3</v>
      </c>
      <c r="AB351" s="2">
        <v>171.2</v>
      </c>
      <c r="AC351" s="2">
        <v>172.3</v>
      </c>
      <c r="AD351" s="2">
        <v>166.8</v>
      </c>
      <c r="AE351" s="2">
        <v>175.3</v>
      </c>
      <c r="AG351" s="20">
        <f t="shared" si="30"/>
        <v>178.63846153846154</v>
      </c>
      <c r="AH351" s="2">
        <v>200.1</v>
      </c>
      <c r="AI351" s="20">
        <f t="shared" si="31"/>
        <v>172.4</v>
      </c>
      <c r="AJ351" s="20">
        <f t="shared" si="32"/>
        <v>170.56666666666669</v>
      </c>
      <c r="AK351" s="20">
        <f t="shared" si="33"/>
        <v>168.35</v>
      </c>
    </row>
    <row r="352" spans="1:37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165.2</v>
      </c>
      <c r="F352" s="2">
        <v>210.9</v>
      </c>
      <c r="G352" s="2">
        <v>170.9</v>
      </c>
      <c r="H352" s="2">
        <v>170.9</v>
      </c>
      <c r="I352" s="2">
        <v>186.5</v>
      </c>
      <c r="J352" s="2">
        <v>163.80000000000001</v>
      </c>
      <c r="K352" s="2">
        <v>199.7</v>
      </c>
      <c r="L352" s="2">
        <v>169.8</v>
      </c>
      <c r="M352" s="2">
        <v>121.9</v>
      </c>
      <c r="N352" s="2">
        <v>199.9</v>
      </c>
      <c r="O352" s="2">
        <v>169.9</v>
      </c>
      <c r="P352" s="2">
        <v>188.3</v>
      </c>
      <c r="Q352" s="2">
        <v>179.6</v>
      </c>
      <c r="R352" s="2">
        <v>196.3</v>
      </c>
      <c r="S352" s="2">
        <v>181.9</v>
      </c>
      <c r="T352" s="2">
        <v>175.3</v>
      </c>
      <c r="U352" s="2">
        <v>181</v>
      </c>
      <c r="V352" s="2">
        <v>171.2</v>
      </c>
      <c r="W352" s="2">
        <v>180.5</v>
      </c>
      <c r="X352" s="2">
        <v>170.4</v>
      </c>
      <c r="Y352" s="2">
        <v>178.7</v>
      </c>
      <c r="Z352" s="2">
        <v>162.9</v>
      </c>
      <c r="AA352" s="2">
        <v>168.2</v>
      </c>
      <c r="AB352" s="2">
        <v>173.4</v>
      </c>
      <c r="AC352" s="2">
        <v>172.1</v>
      </c>
      <c r="AD352" s="2">
        <v>170.5</v>
      </c>
      <c r="AE352" s="2">
        <v>176.7</v>
      </c>
      <c r="AG352" s="20">
        <f t="shared" si="30"/>
        <v>176.71538461538464</v>
      </c>
      <c r="AH352" s="2">
        <v>196.3</v>
      </c>
      <c r="AI352" s="20">
        <f t="shared" si="31"/>
        <v>174.03333333333333</v>
      </c>
      <c r="AJ352" s="20">
        <f t="shared" si="32"/>
        <v>179.4</v>
      </c>
      <c r="AK352" s="20">
        <f t="shared" si="33"/>
        <v>170.9666666666667</v>
      </c>
    </row>
    <row r="353" spans="1:37" ht="26.5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166.9</v>
      </c>
      <c r="F353" s="2">
        <v>207.2</v>
      </c>
      <c r="G353" s="2">
        <v>180.2</v>
      </c>
      <c r="H353" s="2">
        <v>172.3</v>
      </c>
      <c r="I353" s="2">
        <v>194</v>
      </c>
      <c r="J353" s="2">
        <v>159.1</v>
      </c>
      <c r="K353" s="2">
        <v>171.6</v>
      </c>
      <c r="L353" s="2">
        <v>170.2</v>
      </c>
      <c r="M353" s="2">
        <v>121.5</v>
      </c>
      <c r="N353" s="2">
        <v>204.8</v>
      </c>
      <c r="O353" s="2">
        <v>176.4</v>
      </c>
      <c r="P353" s="2">
        <v>186.9</v>
      </c>
      <c r="Q353" s="2">
        <v>176.6</v>
      </c>
      <c r="R353" s="2">
        <v>195.5</v>
      </c>
      <c r="S353" s="2">
        <v>187.2</v>
      </c>
      <c r="T353" s="2">
        <v>185.2</v>
      </c>
      <c r="U353" s="2">
        <v>186.9</v>
      </c>
      <c r="V353" s="2">
        <f>VLOOKUP($A353,'Impute housing Missing Value'!$A$1:$C$125,3,0)</f>
        <v>171.8</v>
      </c>
      <c r="W353" s="2">
        <v>181.9</v>
      </c>
      <c r="X353" s="2">
        <v>175.5</v>
      </c>
      <c r="Y353" s="2">
        <v>182.3</v>
      </c>
      <c r="Z353" s="2">
        <v>167.5</v>
      </c>
      <c r="AA353" s="2">
        <v>170.8</v>
      </c>
      <c r="AB353" s="2">
        <v>176.9</v>
      </c>
      <c r="AC353" s="2">
        <v>173.4</v>
      </c>
      <c r="AD353" s="2">
        <v>174.6</v>
      </c>
      <c r="AE353" s="2">
        <v>177.8</v>
      </c>
      <c r="AG353" s="20">
        <f t="shared" si="30"/>
        <v>175.97692307692307</v>
      </c>
      <c r="AH353" s="2">
        <v>195.5</v>
      </c>
      <c r="AI353" s="20">
        <f t="shared" si="31"/>
        <v>176.4</v>
      </c>
      <c r="AJ353" s="20">
        <f t="shared" si="32"/>
        <v>186.43333333333331</v>
      </c>
      <c r="AK353" s="20">
        <f t="shared" si="33"/>
        <v>174.25</v>
      </c>
    </row>
    <row r="354" spans="1:37" ht="26.5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168.4</v>
      </c>
      <c r="F354" s="2">
        <v>213.4</v>
      </c>
      <c r="G354" s="2">
        <v>183.2</v>
      </c>
      <c r="H354" s="2">
        <v>172.3</v>
      </c>
      <c r="I354" s="2">
        <v>180</v>
      </c>
      <c r="J354" s="2">
        <v>162.6</v>
      </c>
      <c r="K354" s="2">
        <v>205.5</v>
      </c>
      <c r="L354" s="2">
        <v>171</v>
      </c>
      <c r="M354" s="2">
        <v>123.4</v>
      </c>
      <c r="N354" s="2">
        <v>198.8</v>
      </c>
      <c r="O354" s="2">
        <v>162.1</v>
      </c>
      <c r="P354" s="2">
        <v>192.4</v>
      </c>
      <c r="Q354" s="2">
        <v>181.3</v>
      </c>
      <c r="R354" s="2">
        <v>200.6</v>
      </c>
      <c r="S354" s="2">
        <v>176.7</v>
      </c>
      <c r="T354" s="2">
        <v>163.5</v>
      </c>
      <c r="U354" s="2">
        <v>174.7</v>
      </c>
      <c r="V354" s="2">
        <v>171.8</v>
      </c>
      <c r="W354" s="2">
        <v>180.3</v>
      </c>
      <c r="X354" s="2">
        <v>166.9</v>
      </c>
      <c r="Y354" s="2">
        <v>175.8</v>
      </c>
      <c r="Z354" s="2">
        <v>158.9</v>
      </c>
      <c r="AA354" s="2">
        <v>166.7</v>
      </c>
      <c r="AB354" s="2">
        <v>171.5</v>
      </c>
      <c r="AC354" s="2">
        <v>173.8</v>
      </c>
      <c r="AD354" s="2">
        <v>167.4</v>
      </c>
      <c r="AE354" s="2">
        <v>174.1</v>
      </c>
      <c r="AG354" s="20">
        <f t="shared" si="30"/>
        <v>178.03076923076924</v>
      </c>
      <c r="AH354" s="2">
        <v>200.6</v>
      </c>
      <c r="AI354" s="20">
        <f t="shared" si="31"/>
        <v>173</v>
      </c>
      <c r="AJ354" s="20">
        <f t="shared" si="32"/>
        <v>171.63333333333333</v>
      </c>
      <c r="AK354" s="20">
        <f t="shared" si="33"/>
        <v>169.01666666666668</v>
      </c>
    </row>
    <row r="355" spans="1:37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167.4</v>
      </c>
      <c r="F355" s="2">
        <v>209.4</v>
      </c>
      <c r="G355" s="2">
        <v>181.4</v>
      </c>
      <c r="H355" s="2">
        <v>172.3</v>
      </c>
      <c r="I355" s="2">
        <v>188.9</v>
      </c>
      <c r="J355" s="2">
        <v>160.69999999999999</v>
      </c>
      <c r="K355" s="2">
        <v>183.1</v>
      </c>
      <c r="L355" s="2">
        <v>170.5</v>
      </c>
      <c r="M355" s="2">
        <v>122.1</v>
      </c>
      <c r="N355" s="2">
        <v>202.8</v>
      </c>
      <c r="O355" s="2">
        <v>170.4</v>
      </c>
      <c r="P355" s="2">
        <v>189.5</v>
      </c>
      <c r="Q355" s="2">
        <v>178.3</v>
      </c>
      <c r="R355" s="2">
        <v>196.9</v>
      </c>
      <c r="S355" s="2">
        <v>183.1</v>
      </c>
      <c r="T355" s="2">
        <v>176.2</v>
      </c>
      <c r="U355" s="2">
        <v>182.1</v>
      </c>
      <c r="V355" s="2">
        <v>171.8</v>
      </c>
      <c r="W355" s="2">
        <v>181.3</v>
      </c>
      <c r="X355" s="2">
        <v>171.4</v>
      </c>
      <c r="Y355" s="2">
        <v>179.8</v>
      </c>
      <c r="Z355" s="2">
        <v>163</v>
      </c>
      <c r="AA355" s="2">
        <v>168.5</v>
      </c>
      <c r="AB355" s="2">
        <v>173.7</v>
      </c>
      <c r="AC355" s="2">
        <v>173.6</v>
      </c>
      <c r="AD355" s="2">
        <v>171.1</v>
      </c>
      <c r="AE355" s="2">
        <v>176.5</v>
      </c>
      <c r="AG355" s="20">
        <f t="shared" si="30"/>
        <v>176.67692307692309</v>
      </c>
      <c r="AH355" s="2">
        <v>196.9</v>
      </c>
      <c r="AI355" s="20">
        <f t="shared" si="31"/>
        <v>174.83333333333334</v>
      </c>
      <c r="AJ355" s="20">
        <f t="shared" si="32"/>
        <v>180.46666666666667</v>
      </c>
      <c r="AK355" s="20">
        <f t="shared" si="33"/>
        <v>171.61666666666667</v>
      </c>
    </row>
    <row r="356" spans="1:37" ht="26.5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168.8</v>
      </c>
      <c r="F356" s="2">
        <v>206.9</v>
      </c>
      <c r="G356" s="2">
        <v>189.1</v>
      </c>
      <c r="H356" s="2">
        <v>173.4</v>
      </c>
      <c r="I356" s="2">
        <v>193.9</v>
      </c>
      <c r="J356" s="2">
        <v>156.69999999999999</v>
      </c>
      <c r="K356" s="2">
        <v>150.19999999999999</v>
      </c>
      <c r="L356" s="2">
        <v>170.5</v>
      </c>
      <c r="M356" s="2">
        <v>121.2</v>
      </c>
      <c r="N356" s="2">
        <v>207.5</v>
      </c>
      <c r="O356" s="2">
        <v>176.8</v>
      </c>
      <c r="P356" s="2">
        <v>187.7</v>
      </c>
      <c r="Q356" s="2">
        <v>174.4</v>
      </c>
      <c r="R356" s="2">
        <v>195.9</v>
      </c>
      <c r="S356" s="2">
        <v>188.1</v>
      </c>
      <c r="T356" s="2">
        <v>185.9</v>
      </c>
      <c r="U356" s="2">
        <v>187.8</v>
      </c>
      <c r="V356" s="2">
        <f>VLOOKUP($A356,'Impute housing Missing Value'!$A$1:$C$125,3,0)</f>
        <v>170.7</v>
      </c>
      <c r="W356" s="2">
        <v>182.8</v>
      </c>
      <c r="X356" s="2">
        <v>176.4</v>
      </c>
      <c r="Y356" s="2">
        <v>183.5</v>
      </c>
      <c r="Z356" s="2">
        <v>167.8</v>
      </c>
      <c r="AA356" s="2">
        <v>171.2</v>
      </c>
      <c r="AB356" s="2">
        <v>177.3</v>
      </c>
      <c r="AC356" s="2">
        <v>175.7</v>
      </c>
      <c r="AD356" s="2">
        <v>175.5</v>
      </c>
      <c r="AE356" s="2">
        <v>177.1</v>
      </c>
      <c r="AG356" s="20">
        <f t="shared" si="30"/>
        <v>175.16153846153844</v>
      </c>
      <c r="AH356" s="2">
        <v>195.9</v>
      </c>
      <c r="AI356" s="20">
        <f t="shared" si="31"/>
        <v>176.63333333333333</v>
      </c>
      <c r="AJ356" s="20">
        <f t="shared" si="32"/>
        <v>187.26666666666665</v>
      </c>
      <c r="AK356" s="20">
        <f t="shared" si="33"/>
        <v>175.16666666666666</v>
      </c>
    </row>
    <row r="357" spans="1:37" ht="26.5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170.2</v>
      </c>
      <c r="F357" s="2">
        <v>212.9</v>
      </c>
      <c r="G357" s="2">
        <v>191.9</v>
      </c>
      <c r="H357" s="2">
        <v>173.9</v>
      </c>
      <c r="I357" s="2">
        <v>179.1</v>
      </c>
      <c r="J357" s="2">
        <v>159.5</v>
      </c>
      <c r="K357" s="2">
        <v>178.7</v>
      </c>
      <c r="L357" s="2">
        <v>171.3</v>
      </c>
      <c r="M357" s="2">
        <v>123.1</v>
      </c>
      <c r="N357" s="2">
        <v>200.5</v>
      </c>
      <c r="O357" s="2">
        <v>162.80000000000001</v>
      </c>
      <c r="P357" s="2">
        <v>193.3</v>
      </c>
      <c r="Q357" s="2">
        <v>178.6</v>
      </c>
      <c r="R357" s="2">
        <v>201.1</v>
      </c>
      <c r="S357" s="2">
        <v>177.7</v>
      </c>
      <c r="T357" s="2">
        <v>164.5</v>
      </c>
      <c r="U357" s="2">
        <v>175.7</v>
      </c>
      <c r="V357" s="2">
        <v>170.7</v>
      </c>
      <c r="W357" s="2">
        <v>180.6</v>
      </c>
      <c r="X357" s="2">
        <v>167.3</v>
      </c>
      <c r="Y357" s="2">
        <v>177.2</v>
      </c>
      <c r="Z357" s="2">
        <v>159.4</v>
      </c>
      <c r="AA357" s="2">
        <v>167.1</v>
      </c>
      <c r="AB357" s="2">
        <v>171.8</v>
      </c>
      <c r="AC357" s="2">
        <v>176</v>
      </c>
      <c r="AD357" s="2">
        <v>168.2</v>
      </c>
      <c r="AE357" s="2">
        <v>174.1</v>
      </c>
      <c r="AG357" s="20">
        <f t="shared" si="30"/>
        <v>176.59999999999997</v>
      </c>
      <c r="AH357" s="2">
        <v>201.1</v>
      </c>
      <c r="AI357" s="20">
        <f t="shared" si="31"/>
        <v>172.86666666666665</v>
      </c>
      <c r="AJ357" s="20">
        <f t="shared" si="32"/>
        <v>172.63333333333333</v>
      </c>
      <c r="AK357" s="20">
        <f t="shared" si="33"/>
        <v>169.95000000000002</v>
      </c>
    </row>
    <row r="358" spans="1:37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169.2</v>
      </c>
      <c r="F358" s="2">
        <v>209</v>
      </c>
      <c r="G358" s="2">
        <v>190.2</v>
      </c>
      <c r="H358" s="2">
        <v>173.6</v>
      </c>
      <c r="I358" s="2">
        <v>188.5</v>
      </c>
      <c r="J358" s="2">
        <v>158</v>
      </c>
      <c r="K358" s="2">
        <v>159.9</v>
      </c>
      <c r="L358" s="2">
        <v>170.8</v>
      </c>
      <c r="M358" s="2">
        <v>121.8</v>
      </c>
      <c r="N358" s="2">
        <v>205.2</v>
      </c>
      <c r="O358" s="2">
        <v>171</v>
      </c>
      <c r="P358" s="2">
        <v>190.3</v>
      </c>
      <c r="Q358" s="2">
        <v>175.9</v>
      </c>
      <c r="R358" s="2">
        <v>197.3</v>
      </c>
      <c r="S358" s="2">
        <v>184</v>
      </c>
      <c r="T358" s="2">
        <v>177</v>
      </c>
      <c r="U358" s="2">
        <v>183</v>
      </c>
      <c r="V358" s="2">
        <v>170.7</v>
      </c>
      <c r="W358" s="2">
        <v>182</v>
      </c>
      <c r="X358" s="2">
        <v>172.1</v>
      </c>
      <c r="Y358" s="2">
        <v>181.1</v>
      </c>
      <c r="Z358" s="2">
        <v>163.4</v>
      </c>
      <c r="AA358" s="2">
        <v>168.9</v>
      </c>
      <c r="AB358" s="2">
        <v>174.1</v>
      </c>
      <c r="AC358" s="2">
        <v>175.8</v>
      </c>
      <c r="AD358" s="2">
        <v>172</v>
      </c>
      <c r="AE358" s="2">
        <v>175.7</v>
      </c>
      <c r="AG358" s="20">
        <f t="shared" si="30"/>
        <v>175.64615384615385</v>
      </c>
      <c r="AH358" s="2">
        <v>197.3</v>
      </c>
      <c r="AI358" s="20">
        <f t="shared" si="31"/>
        <v>174.93333333333331</v>
      </c>
      <c r="AJ358" s="20">
        <f t="shared" si="32"/>
        <v>181.33333333333334</v>
      </c>
      <c r="AK358" s="20">
        <f t="shared" si="33"/>
        <v>172.54999999999998</v>
      </c>
    </row>
    <row r="359" spans="1:37" ht="15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174</v>
      </c>
      <c r="F359" s="2">
        <v>208.3</v>
      </c>
      <c r="G359" s="2">
        <v>192.9</v>
      </c>
      <c r="H359" s="2">
        <v>174.3</v>
      </c>
      <c r="I359" s="2">
        <v>192.6</v>
      </c>
      <c r="J359" s="2">
        <v>156.30000000000001</v>
      </c>
      <c r="K359" s="2">
        <v>142.9</v>
      </c>
      <c r="L359" s="2">
        <v>170.7</v>
      </c>
      <c r="M359" s="2">
        <v>120.3</v>
      </c>
      <c r="N359" s="2">
        <v>210.5</v>
      </c>
      <c r="O359" s="2">
        <v>176.9</v>
      </c>
      <c r="P359" s="2">
        <v>188.5</v>
      </c>
      <c r="Q359" s="2">
        <v>175</v>
      </c>
      <c r="R359" s="2">
        <v>196.9</v>
      </c>
      <c r="S359" s="2">
        <v>189</v>
      </c>
      <c r="T359" s="2">
        <v>186.3</v>
      </c>
      <c r="U359" s="2">
        <v>188.6</v>
      </c>
      <c r="V359" s="2">
        <f>VLOOKUP($A359,'Impute housing Missing Value'!$A$1:$C$125,3,0)</f>
        <v>172.1</v>
      </c>
      <c r="W359" s="2">
        <v>183.2</v>
      </c>
      <c r="X359" s="2">
        <v>177.2</v>
      </c>
      <c r="Y359" s="2">
        <v>184.7</v>
      </c>
      <c r="Z359" s="2">
        <v>168.2</v>
      </c>
      <c r="AA359" s="2">
        <v>171.8</v>
      </c>
      <c r="AB359" s="2">
        <v>177.8</v>
      </c>
      <c r="AC359" s="2">
        <v>178.4</v>
      </c>
      <c r="AD359" s="2">
        <v>176.5</v>
      </c>
      <c r="AE359" s="2">
        <v>177.8</v>
      </c>
      <c r="AG359" s="20">
        <f t="shared" si="30"/>
        <v>175.63076923076926</v>
      </c>
      <c r="AH359" s="2">
        <v>196.9</v>
      </c>
      <c r="AI359" s="20">
        <f t="shared" si="31"/>
        <v>177.5</v>
      </c>
      <c r="AJ359" s="20">
        <f t="shared" si="32"/>
        <v>187.96666666666667</v>
      </c>
      <c r="AK359" s="20">
        <f t="shared" si="33"/>
        <v>176.23333333333335</v>
      </c>
    </row>
    <row r="360" spans="1:37" ht="15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173.3</v>
      </c>
      <c r="F360" s="2">
        <v>215.2</v>
      </c>
      <c r="G360" s="2">
        <v>197</v>
      </c>
      <c r="H360" s="2">
        <v>175.2</v>
      </c>
      <c r="I360" s="2">
        <v>178</v>
      </c>
      <c r="J360" s="2">
        <v>160.5</v>
      </c>
      <c r="K360" s="2">
        <v>175.3</v>
      </c>
      <c r="L360" s="2">
        <v>171.2</v>
      </c>
      <c r="M360" s="2">
        <v>122.7</v>
      </c>
      <c r="N360" s="2">
        <v>204.3</v>
      </c>
      <c r="O360" s="2">
        <v>163.69999999999999</v>
      </c>
      <c r="P360" s="2">
        <v>194.3</v>
      </c>
      <c r="Q360" s="2">
        <v>179.5</v>
      </c>
      <c r="R360" s="2">
        <v>201.6</v>
      </c>
      <c r="S360" s="2">
        <v>178.7</v>
      </c>
      <c r="T360" s="2">
        <v>165.3</v>
      </c>
      <c r="U360" s="2">
        <v>176.6</v>
      </c>
      <c r="V360" s="2">
        <v>172.1</v>
      </c>
      <c r="W360" s="2">
        <v>180.1</v>
      </c>
      <c r="X360" s="2">
        <v>168</v>
      </c>
      <c r="Y360" s="2">
        <v>178.5</v>
      </c>
      <c r="Z360" s="2">
        <v>159.5</v>
      </c>
      <c r="AA360" s="2">
        <v>167.8</v>
      </c>
      <c r="AB360" s="2">
        <v>171.8</v>
      </c>
      <c r="AC360" s="2">
        <v>178.8</v>
      </c>
      <c r="AD360" s="2">
        <v>168.9</v>
      </c>
      <c r="AE360" s="2">
        <v>174.9</v>
      </c>
      <c r="AG360" s="20">
        <f t="shared" si="30"/>
        <v>177.70769230769233</v>
      </c>
      <c r="AH360" s="2">
        <v>201.6</v>
      </c>
      <c r="AI360" s="20">
        <f t="shared" si="31"/>
        <v>173.4</v>
      </c>
      <c r="AJ360" s="20">
        <f t="shared" si="32"/>
        <v>173.53333333333333</v>
      </c>
      <c r="AK360" s="20">
        <f t="shared" si="33"/>
        <v>170.88333333333335</v>
      </c>
    </row>
    <row r="361" spans="1:37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173.8</v>
      </c>
      <c r="F361" s="2">
        <v>210.7</v>
      </c>
      <c r="G361" s="2">
        <v>194.5</v>
      </c>
      <c r="H361" s="2">
        <v>174.6</v>
      </c>
      <c r="I361" s="2">
        <v>187.2</v>
      </c>
      <c r="J361" s="2">
        <v>158.30000000000001</v>
      </c>
      <c r="K361" s="2">
        <v>153.9</v>
      </c>
      <c r="L361" s="2">
        <v>170.9</v>
      </c>
      <c r="M361" s="2">
        <v>121.1</v>
      </c>
      <c r="N361" s="2">
        <v>208.4</v>
      </c>
      <c r="O361" s="2">
        <v>171.4</v>
      </c>
      <c r="P361" s="2">
        <v>191.2</v>
      </c>
      <c r="Q361" s="2">
        <v>176.7</v>
      </c>
      <c r="R361" s="2">
        <v>198.2</v>
      </c>
      <c r="S361" s="2">
        <v>184.9</v>
      </c>
      <c r="T361" s="2">
        <v>177.6</v>
      </c>
      <c r="U361" s="2">
        <v>183.8</v>
      </c>
      <c r="V361" s="2">
        <v>172.1</v>
      </c>
      <c r="W361" s="2">
        <v>182</v>
      </c>
      <c r="X361" s="2">
        <v>172.9</v>
      </c>
      <c r="Y361" s="2">
        <v>182.3</v>
      </c>
      <c r="Z361" s="2">
        <v>163.6</v>
      </c>
      <c r="AA361" s="2">
        <v>169.5</v>
      </c>
      <c r="AB361" s="2">
        <v>174.3</v>
      </c>
      <c r="AC361" s="2">
        <v>178.6</v>
      </c>
      <c r="AD361" s="2">
        <v>172.8</v>
      </c>
      <c r="AE361" s="2">
        <v>176.5</v>
      </c>
      <c r="AG361" s="20">
        <f t="shared" si="30"/>
        <v>176.36153846153846</v>
      </c>
      <c r="AH361" s="2">
        <v>198.2</v>
      </c>
      <c r="AI361" s="20">
        <f t="shared" si="31"/>
        <v>175.66666666666666</v>
      </c>
      <c r="AJ361" s="20">
        <f t="shared" si="32"/>
        <v>182.1</v>
      </c>
      <c r="AK361" s="20">
        <f t="shared" si="33"/>
        <v>173.51666666666668</v>
      </c>
    </row>
    <row r="362" spans="1:37" ht="15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174.2</v>
      </c>
      <c r="F362" s="2">
        <v>205.2</v>
      </c>
      <c r="G362" s="2">
        <v>173.9</v>
      </c>
      <c r="H362" s="2">
        <v>177</v>
      </c>
      <c r="I362" s="2">
        <v>183.4</v>
      </c>
      <c r="J362" s="2">
        <v>167.2</v>
      </c>
      <c r="K362" s="2">
        <v>140.9</v>
      </c>
      <c r="L362" s="2">
        <v>170.4</v>
      </c>
      <c r="M362" s="2">
        <v>119.1</v>
      </c>
      <c r="N362" s="2">
        <v>212.1</v>
      </c>
      <c r="O362" s="2">
        <v>177.6</v>
      </c>
      <c r="P362" s="2">
        <v>189.9</v>
      </c>
      <c r="Q362" s="2">
        <v>174.8</v>
      </c>
      <c r="R362" s="2">
        <v>198.3</v>
      </c>
      <c r="S362" s="2">
        <v>190</v>
      </c>
      <c r="T362" s="2">
        <v>187</v>
      </c>
      <c r="U362" s="2">
        <v>189.6</v>
      </c>
      <c r="V362" s="2">
        <f>VLOOKUP($A362,'Impute housing Missing Value'!$A$1:$C$125,3,0)</f>
        <v>173.5</v>
      </c>
      <c r="W362" s="2">
        <v>181.6</v>
      </c>
      <c r="X362" s="2">
        <v>178.6</v>
      </c>
      <c r="Y362" s="2">
        <v>186.6</v>
      </c>
      <c r="Z362" s="2">
        <v>169</v>
      </c>
      <c r="AA362" s="2">
        <v>172.8</v>
      </c>
      <c r="AB362" s="2">
        <v>178.5</v>
      </c>
      <c r="AC362" s="2">
        <v>180.7</v>
      </c>
      <c r="AD362" s="2">
        <v>177.9</v>
      </c>
      <c r="AE362" s="2">
        <v>178</v>
      </c>
      <c r="AG362" s="20">
        <f t="shared" si="30"/>
        <v>174.28461538461536</v>
      </c>
      <c r="AH362" s="2">
        <v>198.3</v>
      </c>
      <c r="AI362" s="20">
        <f t="shared" si="31"/>
        <v>177.9</v>
      </c>
      <c r="AJ362" s="20">
        <f t="shared" si="32"/>
        <v>188.86666666666667</v>
      </c>
      <c r="AK362" s="20">
        <f t="shared" si="33"/>
        <v>177.58333333333337</v>
      </c>
    </row>
    <row r="363" spans="1:37" ht="15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174.7</v>
      </c>
      <c r="F363" s="2">
        <v>212.2</v>
      </c>
      <c r="G363" s="2">
        <v>177.2</v>
      </c>
      <c r="H363" s="2">
        <v>177.9</v>
      </c>
      <c r="I363" s="2">
        <v>172.2</v>
      </c>
      <c r="J363" s="2">
        <v>172.1</v>
      </c>
      <c r="K363" s="2">
        <v>175.8</v>
      </c>
      <c r="L363" s="2">
        <v>172.2</v>
      </c>
      <c r="M363" s="2">
        <v>121.9</v>
      </c>
      <c r="N363" s="2">
        <v>204.8</v>
      </c>
      <c r="O363" s="2">
        <v>164.9</v>
      </c>
      <c r="P363" s="2">
        <v>196.6</v>
      </c>
      <c r="Q363" s="2">
        <v>180.7</v>
      </c>
      <c r="R363" s="2">
        <v>202.7</v>
      </c>
      <c r="S363" s="2">
        <v>180.3</v>
      </c>
      <c r="T363" s="2">
        <v>167</v>
      </c>
      <c r="U363" s="2">
        <v>178.2</v>
      </c>
      <c r="V363" s="2">
        <v>173.5</v>
      </c>
      <c r="W363" s="2">
        <v>182.8</v>
      </c>
      <c r="X363" s="2">
        <v>169.2</v>
      </c>
      <c r="Y363" s="2">
        <v>180.8</v>
      </c>
      <c r="Z363" s="2">
        <v>159.80000000000001</v>
      </c>
      <c r="AA363" s="2">
        <v>168.4</v>
      </c>
      <c r="AB363" s="2">
        <v>172.5</v>
      </c>
      <c r="AC363" s="2">
        <v>181.4</v>
      </c>
      <c r="AD363" s="2">
        <v>170</v>
      </c>
      <c r="AE363" s="2">
        <v>176.3</v>
      </c>
      <c r="AG363" s="20">
        <f t="shared" si="30"/>
        <v>177.16923076923075</v>
      </c>
      <c r="AH363" s="2">
        <v>202.7</v>
      </c>
      <c r="AI363" s="20">
        <f t="shared" si="31"/>
        <v>175.16666666666666</v>
      </c>
      <c r="AJ363" s="20">
        <f t="shared" si="32"/>
        <v>175.16666666666666</v>
      </c>
      <c r="AK363" s="20">
        <f t="shared" si="33"/>
        <v>172.15</v>
      </c>
    </row>
    <row r="364" spans="1:37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174.4</v>
      </c>
      <c r="F364" s="2">
        <v>207.7</v>
      </c>
      <c r="G364" s="2">
        <v>175.2</v>
      </c>
      <c r="H364" s="2">
        <v>177.3</v>
      </c>
      <c r="I364" s="2">
        <v>179.3</v>
      </c>
      <c r="J364" s="2">
        <v>169.5</v>
      </c>
      <c r="K364" s="2">
        <v>152.69999999999999</v>
      </c>
      <c r="L364" s="2">
        <v>171</v>
      </c>
      <c r="M364" s="2">
        <v>120</v>
      </c>
      <c r="N364" s="2">
        <v>209.7</v>
      </c>
      <c r="O364" s="2">
        <v>172.3</v>
      </c>
      <c r="P364" s="2">
        <v>193</v>
      </c>
      <c r="Q364" s="2">
        <v>177</v>
      </c>
      <c r="R364" s="2">
        <v>199.5</v>
      </c>
      <c r="S364" s="2">
        <v>186.2</v>
      </c>
      <c r="T364" s="2">
        <v>178.7</v>
      </c>
      <c r="U364" s="2">
        <v>185.1</v>
      </c>
      <c r="V364" s="2">
        <v>173.5</v>
      </c>
      <c r="W364" s="2">
        <v>182.1</v>
      </c>
      <c r="X364" s="2">
        <v>174.2</v>
      </c>
      <c r="Y364" s="2">
        <v>184.4</v>
      </c>
      <c r="Z364" s="2">
        <v>164.2</v>
      </c>
      <c r="AA364" s="2">
        <v>170.3</v>
      </c>
      <c r="AB364" s="2">
        <v>175</v>
      </c>
      <c r="AC364" s="2">
        <v>181</v>
      </c>
      <c r="AD364" s="2">
        <v>174.1</v>
      </c>
      <c r="AE364" s="2">
        <v>177.2</v>
      </c>
      <c r="AG364" s="20">
        <f t="shared" si="30"/>
        <v>175.3153846153846</v>
      </c>
      <c r="AH364" s="2">
        <v>199.5</v>
      </c>
      <c r="AI364" s="20">
        <f t="shared" si="31"/>
        <v>176.6</v>
      </c>
      <c r="AJ364" s="20">
        <f t="shared" si="32"/>
        <v>183.33333333333334</v>
      </c>
      <c r="AK364" s="20">
        <f t="shared" si="33"/>
        <v>174.83333333333334</v>
      </c>
    </row>
    <row r="365" spans="1:37" ht="15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174.3</v>
      </c>
      <c r="F365" s="2">
        <v>205.2</v>
      </c>
      <c r="G365" s="2">
        <v>173.9</v>
      </c>
      <c r="H365" s="2">
        <v>177</v>
      </c>
      <c r="I365" s="2">
        <v>183.3</v>
      </c>
      <c r="J365" s="2">
        <v>167.2</v>
      </c>
      <c r="K365" s="2">
        <v>140.9</v>
      </c>
      <c r="L365" s="2">
        <v>170.5</v>
      </c>
      <c r="M365" s="2">
        <v>119.1</v>
      </c>
      <c r="N365" s="2">
        <v>212.1</v>
      </c>
      <c r="O365" s="2">
        <v>177.6</v>
      </c>
      <c r="P365" s="2">
        <v>189.9</v>
      </c>
      <c r="Q365" s="2">
        <v>174.8</v>
      </c>
      <c r="R365" s="2">
        <v>198.4</v>
      </c>
      <c r="S365" s="2">
        <v>190</v>
      </c>
      <c r="T365" s="2">
        <v>187</v>
      </c>
      <c r="U365" s="2">
        <v>189.6</v>
      </c>
      <c r="V365" s="2">
        <f>VLOOKUP($A365,'Impute housing Missing Value'!$A$1:$C$125,3,0)</f>
        <v>173.5</v>
      </c>
      <c r="W365" s="2">
        <v>181.4</v>
      </c>
      <c r="X365" s="2">
        <v>178.6</v>
      </c>
      <c r="Y365" s="2">
        <v>186.6</v>
      </c>
      <c r="Z365" s="2">
        <v>169</v>
      </c>
      <c r="AA365" s="2">
        <v>172.8</v>
      </c>
      <c r="AB365" s="2">
        <v>178.5</v>
      </c>
      <c r="AC365" s="2">
        <v>180.7</v>
      </c>
      <c r="AD365" s="2">
        <v>177.9</v>
      </c>
      <c r="AE365" s="2">
        <v>178</v>
      </c>
      <c r="AG365" s="20">
        <f t="shared" si="30"/>
        <v>174.2923076923077</v>
      </c>
      <c r="AH365" s="2">
        <v>198.4</v>
      </c>
      <c r="AI365" s="20">
        <f t="shared" si="31"/>
        <v>177.83333333333334</v>
      </c>
      <c r="AJ365" s="20">
        <f t="shared" si="32"/>
        <v>188.86666666666667</v>
      </c>
      <c r="AK365" s="20">
        <f t="shared" si="33"/>
        <v>177.58333333333337</v>
      </c>
    </row>
    <row r="366" spans="1:37" ht="15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174.7</v>
      </c>
      <c r="F366" s="2">
        <v>212.2</v>
      </c>
      <c r="G366" s="2">
        <v>177.2</v>
      </c>
      <c r="H366" s="2">
        <v>177.9</v>
      </c>
      <c r="I366" s="2">
        <v>172.2</v>
      </c>
      <c r="J366" s="2">
        <v>172.1</v>
      </c>
      <c r="K366" s="2">
        <v>175.9</v>
      </c>
      <c r="L366" s="2">
        <v>172.2</v>
      </c>
      <c r="M366" s="2">
        <v>121.9</v>
      </c>
      <c r="N366" s="2">
        <v>204.8</v>
      </c>
      <c r="O366" s="2">
        <v>164.9</v>
      </c>
      <c r="P366" s="2">
        <v>196.6</v>
      </c>
      <c r="Q366" s="2">
        <v>180.8</v>
      </c>
      <c r="R366" s="2">
        <v>202.7</v>
      </c>
      <c r="S366" s="2">
        <v>180.2</v>
      </c>
      <c r="T366" s="2">
        <v>167</v>
      </c>
      <c r="U366" s="2">
        <v>178.2</v>
      </c>
      <c r="V366" s="2">
        <v>173.5</v>
      </c>
      <c r="W366" s="2">
        <v>182.6</v>
      </c>
      <c r="X366" s="2">
        <v>169.2</v>
      </c>
      <c r="Y366" s="2">
        <v>180.8</v>
      </c>
      <c r="Z366" s="2">
        <v>159.80000000000001</v>
      </c>
      <c r="AA366" s="2">
        <v>168.4</v>
      </c>
      <c r="AB366" s="2">
        <v>172.5</v>
      </c>
      <c r="AC366" s="2">
        <v>181.5</v>
      </c>
      <c r="AD366" s="2">
        <v>170</v>
      </c>
      <c r="AE366" s="2">
        <v>176.3</v>
      </c>
      <c r="AG366" s="20">
        <f t="shared" si="30"/>
        <v>177.1846153846154</v>
      </c>
      <c r="AH366" s="2">
        <v>202.7</v>
      </c>
      <c r="AI366" s="20">
        <f t="shared" si="31"/>
        <v>175.1</v>
      </c>
      <c r="AJ366" s="20">
        <f t="shared" si="32"/>
        <v>175.13333333333333</v>
      </c>
      <c r="AK366" s="20">
        <f t="shared" si="33"/>
        <v>172.16666666666666</v>
      </c>
    </row>
    <row r="367" spans="1:37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174.4</v>
      </c>
      <c r="F367" s="2">
        <v>207.7</v>
      </c>
      <c r="G367" s="2">
        <v>175.2</v>
      </c>
      <c r="H367" s="2">
        <v>177.3</v>
      </c>
      <c r="I367" s="2">
        <v>179.2</v>
      </c>
      <c r="J367" s="2">
        <v>169.5</v>
      </c>
      <c r="K367" s="2">
        <v>152.80000000000001</v>
      </c>
      <c r="L367" s="2">
        <v>171.1</v>
      </c>
      <c r="M367" s="2">
        <v>120</v>
      </c>
      <c r="N367" s="2">
        <v>209.7</v>
      </c>
      <c r="O367" s="2">
        <v>172.3</v>
      </c>
      <c r="P367" s="2">
        <v>193</v>
      </c>
      <c r="Q367" s="2">
        <v>177</v>
      </c>
      <c r="R367" s="2">
        <v>199.5</v>
      </c>
      <c r="S367" s="2">
        <v>186.1</v>
      </c>
      <c r="T367" s="2">
        <v>178.7</v>
      </c>
      <c r="U367" s="2">
        <v>185.1</v>
      </c>
      <c r="V367" s="2">
        <v>173.5</v>
      </c>
      <c r="W367" s="2">
        <v>181.9</v>
      </c>
      <c r="X367" s="2">
        <v>174.2</v>
      </c>
      <c r="Y367" s="2">
        <v>184.4</v>
      </c>
      <c r="Z367" s="2">
        <v>164.2</v>
      </c>
      <c r="AA367" s="2">
        <v>170.3</v>
      </c>
      <c r="AB367" s="2">
        <v>175</v>
      </c>
      <c r="AC367" s="2">
        <v>181</v>
      </c>
      <c r="AD367" s="2">
        <v>174.1</v>
      </c>
      <c r="AE367" s="2">
        <v>177.2</v>
      </c>
      <c r="AG367" s="20">
        <f t="shared" si="30"/>
        <v>175.32307692307691</v>
      </c>
      <c r="AH367" s="2">
        <v>199.5</v>
      </c>
      <c r="AI367" s="20">
        <f t="shared" si="31"/>
        <v>176.5333333333333</v>
      </c>
      <c r="AJ367" s="20">
        <f t="shared" si="32"/>
        <v>183.29999999999998</v>
      </c>
      <c r="AK367" s="20">
        <f t="shared" si="33"/>
        <v>174.83333333333334</v>
      </c>
    </row>
    <row r="368" spans="1:37" ht="15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173.3</v>
      </c>
      <c r="F368" s="2">
        <v>206.9</v>
      </c>
      <c r="G368" s="2">
        <v>167.9</v>
      </c>
      <c r="H368" s="2">
        <v>178.2</v>
      </c>
      <c r="I368" s="2">
        <v>178.5</v>
      </c>
      <c r="J368" s="2">
        <v>173.7</v>
      </c>
      <c r="K368" s="2">
        <v>142.80000000000001</v>
      </c>
      <c r="L368" s="2">
        <v>172.8</v>
      </c>
      <c r="M368" s="2">
        <v>120.4</v>
      </c>
      <c r="N368" s="2">
        <v>215.5</v>
      </c>
      <c r="O368" s="2">
        <v>178.2</v>
      </c>
      <c r="P368" s="2">
        <v>190.5</v>
      </c>
      <c r="Q368" s="2">
        <v>175.5</v>
      </c>
      <c r="R368" s="2">
        <v>199.5</v>
      </c>
      <c r="S368" s="2">
        <v>190.7</v>
      </c>
      <c r="T368" s="2">
        <v>187.3</v>
      </c>
      <c r="U368" s="2">
        <v>190.2</v>
      </c>
      <c r="V368" s="2">
        <f>VLOOKUP($A368,'Impute housing Missing Value'!$A$1:$C$125,3,0)</f>
        <v>175.2</v>
      </c>
      <c r="W368" s="2">
        <v>181.5</v>
      </c>
      <c r="X368" s="2">
        <v>179.1</v>
      </c>
      <c r="Y368" s="2">
        <v>187.2</v>
      </c>
      <c r="Z368" s="2">
        <v>169.4</v>
      </c>
      <c r="AA368" s="2">
        <v>173.2</v>
      </c>
      <c r="AB368" s="2">
        <v>179.4</v>
      </c>
      <c r="AC368" s="2">
        <v>183.8</v>
      </c>
      <c r="AD368" s="2">
        <v>178.9</v>
      </c>
      <c r="AE368" s="2">
        <v>178.8</v>
      </c>
      <c r="AG368" s="20">
        <f t="shared" si="30"/>
        <v>174.93846153846152</v>
      </c>
      <c r="AH368" s="2">
        <v>199.5</v>
      </c>
      <c r="AI368" s="20">
        <f t="shared" si="31"/>
        <v>178.6</v>
      </c>
      <c r="AJ368" s="20">
        <f t="shared" si="32"/>
        <v>189.4</v>
      </c>
      <c r="AK368" s="20">
        <f t="shared" si="33"/>
        <v>178.65</v>
      </c>
    </row>
    <row r="369" spans="1:39" ht="15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174.8</v>
      </c>
      <c r="F369" s="2">
        <v>213.7</v>
      </c>
      <c r="G369" s="2">
        <v>172.4</v>
      </c>
      <c r="H369" s="2">
        <v>178.8</v>
      </c>
      <c r="I369" s="2">
        <v>168.7</v>
      </c>
      <c r="J369" s="2">
        <v>179.2</v>
      </c>
      <c r="K369" s="2">
        <v>179.9</v>
      </c>
      <c r="L369" s="2">
        <v>174.7</v>
      </c>
      <c r="M369" s="2">
        <v>123.1</v>
      </c>
      <c r="N369" s="2">
        <v>207.8</v>
      </c>
      <c r="O369" s="2">
        <v>165.5</v>
      </c>
      <c r="P369" s="2">
        <v>197</v>
      </c>
      <c r="Q369" s="2">
        <v>182.1</v>
      </c>
      <c r="R369" s="2">
        <v>203.5</v>
      </c>
      <c r="S369" s="2">
        <v>181</v>
      </c>
      <c r="T369" s="2">
        <v>167.7</v>
      </c>
      <c r="U369" s="2">
        <v>178.9</v>
      </c>
      <c r="V369" s="2">
        <v>175.2</v>
      </c>
      <c r="W369" s="2">
        <v>182.1</v>
      </c>
      <c r="X369" s="2">
        <v>169.6</v>
      </c>
      <c r="Y369" s="2">
        <v>181.5</v>
      </c>
      <c r="Z369" s="2">
        <v>160.1</v>
      </c>
      <c r="AA369" s="2">
        <v>168.8</v>
      </c>
      <c r="AB369" s="2">
        <v>174.2</v>
      </c>
      <c r="AC369" s="2">
        <v>184.4</v>
      </c>
      <c r="AD369" s="2">
        <v>170.9</v>
      </c>
      <c r="AE369" s="2">
        <v>177.4</v>
      </c>
      <c r="AG369" s="20">
        <f t="shared" si="30"/>
        <v>178.28461538461539</v>
      </c>
      <c r="AH369" s="2">
        <v>203.5</v>
      </c>
      <c r="AI369" s="20">
        <f t="shared" si="31"/>
        <v>175.63333333333333</v>
      </c>
      <c r="AJ369" s="20">
        <f t="shared" si="32"/>
        <v>175.86666666666667</v>
      </c>
      <c r="AK369" s="20">
        <f t="shared" si="33"/>
        <v>173.31666666666669</v>
      </c>
    </row>
    <row r="370" spans="1:39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173.8</v>
      </c>
      <c r="F370" s="2">
        <v>209.3</v>
      </c>
      <c r="G370" s="2">
        <v>169.6</v>
      </c>
      <c r="H370" s="2">
        <v>178.4</v>
      </c>
      <c r="I370" s="2">
        <v>174.9</v>
      </c>
      <c r="J370" s="2">
        <v>176.3</v>
      </c>
      <c r="K370" s="2">
        <v>155.4</v>
      </c>
      <c r="L370" s="2">
        <v>173.4</v>
      </c>
      <c r="M370" s="2">
        <v>121.3</v>
      </c>
      <c r="N370" s="2">
        <v>212.9</v>
      </c>
      <c r="O370" s="2">
        <v>172.9</v>
      </c>
      <c r="P370" s="2">
        <v>193.5</v>
      </c>
      <c r="Q370" s="2">
        <v>177.9</v>
      </c>
      <c r="R370" s="2">
        <v>200.6</v>
      </c>
      <c r="S370" s="2">
        <v>186.9</v>
      </c>
      <c r="T370" s="2">
        <v>179.2</v>
      </c>
      <c r="U370" s="2">
        <v>185.7</v>
      </c>
      <c r="V370" s="2">
        <v>175.2</v>
      </c>
      <c r="W370" s="2">
        <v>181.7</v>
      </c>
      <c r="X370" s="2">
        <v>174.6</v>
      </c>
      <c r="Y370" s="2">
        <v>185</v>
      </c>
      <c r="Z370" s="2">
        <v>164.5</v>
      </c>
      <c r="AA370" s="2">
        <v>170.7</v>
      </c>
      <c r="AB370" s="2">
        <v>176.4</v>
      </c>
      <c r="AC370" s="2">
        <v>184</v>
      </c>
      <c r="AD370" s="2">
        <v>175</v>
      </c>
      <c r="AE370" s="2">
        <v>178.1</v>
      </c>
      <c r="AG370" s="20">
        <f t="shared" si="30"/>
        <v>176.12307692307695</v>
      </c>
      <c r="AH370" s="2">
        <v>200.6</v>
      </c>
      <c r="AI370" s="20">
        <f t="shared" si="31"/>
        <v>177.16666666666666</v>
      </c>
      <c r="AJ370" s="20">
        <f t="shared" si="32"/>
        <v>183.93333333333331</v>
      </c>
      <c r="AK370" s="20">
        <f t="shared" si="33"/>
        <v>175.93333333333331</v>
      </c>
    </row>
    <row r="371" spans="1:39" ht="15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173.2</v>
      </c>
      <c r="F371" s="2">
        <v>211.5</v>
      </c>
      <c r="G371" s="2">
        <v>171</v>
      </c>
      <c r="H371" s="2">
        <v>179.6</v>
      </c>
      <c r="I371" s="2">
        <v>173.3</v>
      </c>
      <c r="J371" s="2">
        <v>169</v>
      </c>
      <c r="K371" s="2">
        <v>148.69999999999999</v>
      </c>
      <c r="L371" s="2">
        <v>174.9</v>
      </c>
      <c r="M371" s="2">
        <v>121.9</v>
      </c>
      <c r="N371" s="2">
        <v>221</v>
      </c>
      <c r="O371" s="2">
        <v>178.7</v>
      </c>
      <c r="P371" s="2">
        <v>191.1</v>
      </c>
      <c r="Q371" s="2">
        <v>176.8</v>
      </c>
      <c r="R371" s="2">
        <v>199.9</v>
      </c>
      <c r="S371" s="2">
        <v>191.2</v>
      </c>
      <c r="T371" s="2">
        <v>187.9</v>
      </c>
      <c r="U371" s="2">
        <v>190.8</v>
      </c>
      <c r="V371" s="2">
        <f>VLOOKUP($A371,'Impute housing Missing Value'!$A$1:$C$125,3,0)</f>
        <v>175.6</v>
      </c>
      <c r="W371" s="2">
        <v>182.5</v>
      </c>
      <c r="X371" s="2">
        <v>179.8</v>
      </c>
      <c r="Y371" s="2">
        <v>187.8</v>
      </c>
      <c r="Z371" s="2">
        <v>169.7</v>
      </c>
      <c r="AA371" s="2">
        <v>173.8</v>
      </c>
      <c r="AB371" s="2">
        <v>180.3</v>
      </c>
      <c r="AC371" s="2">
        <v>184.9</v>
      </c>
      <c r="AD371" s="2">
        <v>179.5</v>
      </c>
      <c r="AE371" s="2">
        <v>179.8</v>
      </c>
      <c r="AG371" s="20">
        <f t="shared" si="30"/>
        <v>176.20769230769235</v>
      </c>
      <c r="AH371" s="2">
        <v>199.9</v>
      </c>
      <c r="AI371" s="20">
        <f t="shared" si="31"/>
        <v>179.30000000000004</v>
      </c>
      <c r="AJ371" s="20">
        <f t="shared" si="32"/>
        <v>189.9666666666667</v>
      </c>
      <c r="AK371" s="20">
        <f t="shared" si="33"/>
        <v>179.33333333333334</v>
      </c>
    </row>
    <row r="372" spans="1:39" ht="15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174.7</v>
      </c>
      <c r="F372" s="2">
        <v>219.4</v>
      </c>
      <c r="G372" s="2">
        <v>176.7</v>
      </c>
      <c r="H372" s="2">
        <v>179.4</v>
      </c>
      <c r="I372" s="2">
        <v>164.4</v>
      </c>
      <c r="J372" s="2">
        <v>175.8</v>
      </c>
      <c r="K372" s="2">
        <v>185</v>
      </c>
      <c r="L372" s="2">
        <v>176.9</v>
      </c>
      <c r="M372" s="2">
        <v>124.2</v>
      </c>
      <c r="N372" s="2">
        <v>211.9</v>
      </c>
      <c r="O372" s="2">
        <v>165.9</v>
      </c>
      <c r="P372" s="2">
        <v>197.7</v>
      </c>
      <c r="Q372" s="2">
        <v>183.1</v>
      </c>
      <c r="R372" s="2">
        <v>204.2</v>
      </c>
      <c r="S372" s="2">
        <v>181.3</v>
      </c>
      <c r="T372" s="2">
        <v>168.1</v>
      </c>
      <c r="U372" s="2">
        <v>179.3</v>
      </c>
      <c r="V372" s="2">
        <v>175.6</v>
      </c>
      <c r="W372" s="2">
        <v>183.4</v>
      </c>
      <c r="X372" s="2">
        <v>170.1</v>
      </c>
      <c r="Y372" s="2">
        <v>182.2</v>
      </c>
      <c r="Z372" s="2">
        <v>160.4</v>
      </c>
      <c r="AA372" s="2">
        <v>169.2</v>
      </c>
      <c r="AB372" s="2">
        <v>174.8</v>
      </c>
      <c r="AC372" s="2">
        <v>185.6</v>
      </c>
      <c r="AD372" s="2">
        <v>171.6</v>
      </c>
      <c r="AE372" s="2">
        <v>178.2</v>
      </c>
      <c r="AG372" s="20">
        <f t="shared" si="30"/>
        <v>179.62307692307692</v>
      </c>
      <c r="AH372" s="2">
        <v>204.2</v>
      </c>
      <c r="AI372" s="20">
        <f t="shared" si="31"/>
        <v>176.36666666666667</v>
      </c>
      <c r="AJ372" s="20">
        <f t="shared" si="32"/>
        <v>176.23333333333335</v>
      </c>
      <c r="AK372" s="20">
        <f t="shared" si="33"/>
        <v>173.96666666666667</v>
      </c>
    </row>
    <row r="373" spans="1:39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173.7</v>
      </c>
      <c r="F373" s="2">
        <v>214.3</v>
      </c>
      <c r="G373" s="2">
        <v>173.2</v>
      </c>
      <c r="H373" s="2">
        <v>179.5</v>
      </c>
      <c r="I373" s="2">
        <v>170</v>
      </c>
      <c r="J373" s="2">
        <v>172.2</v>
      </c>
      <c r="K373" s="2">
        <v>161</v>
      </c>
      <c r="L373" s="2">
        <v>175.6</v>
      </c>
      <c r="M373" s="2">
        <v>122.7</v>
      </c>
      <c r="N373" s="2">
        <v>218</v>
      </c>
      <c r="O373" s="2">
        <v>173.4</v>
      </c>
      <c r="P373" s="2">
        <v>194.2</v>
      </c>
      <c r="Q373" s="2">
        <v>179.1</v>
      </c>
      <c r="R373" s="2">
        <v>201</v>
      </c>
      <c r="S373" s="2">
        <v>187.3</v>
      </c>
      <c r="T373" s="2">
        <v>179.7</v>
      </c>
      <c r="U373" s="2">
        <v>186.2</v>
      </c>
      <c r="V373" s="2">
        <v>175.6</v>
      </c>
      <c r="W373" s="2">
        <v>182.8</v>
      </c>
      <c r="X373" s="2">
        <v>175.2</v>
      </c>
      <c r="Y373" s="2">
        <v>185.7</v>
      </c>
      <c r="Z373" s="2">
        <v>164.8</v>
      </c>
      <c r="AA373" s="2">
        <v>171.2</v>
      </c>
      <c r="AB373" s="2">
        <v>177.1</v>
      </c>
      <c r="AC373" s="2">
        <v>185.2</v>
      </c>
      <c r="AD373" s="2">
        <v>175.7</v>
      </c>
      <c r="AE373" s="2">
        <v>179.1</v>
      </c>
      <c r="AG373" s="20">
        <f t="shared" si="30"/>
        <v>177.45384615384617</v>
      </c>
      <c r="AH373" s="18">
        <v>201</v>
      </c>
      <c r="AI373" s="20">
        <f t="shared" si="31"/>
        <v>177.86666666666665</v>
      </c>
      <c r="AJ373" s="20">
        <f t="shared" si="32"/>
        <v>184.4</v>
      </c>
      <c r="AK373" s="20">
        <f t="shared" si="33"/>
        <v>176.61666666666667</v>
      </c>
      <c r="AM373" s="20"/>
    </row>
    <row r="374" spans="1:39" x14ac:dyDescent="0.35">
      <c r="AG374" s="20"/>
    </row>
    <row r="375" spans="1:39" x14ac:dyDescent="0.35">
      <c r="AG375" s="20"/>
    </row>
  </sheetData>
  <autoFilter ref="A1:AK373" xr:uid="{9318D578-456A-42DE-953F-5BAC1E7C3C06}"/>
  <pageMargins left="0.7" right="0.7" top="0.75" bottom="0.75" header="0.3" footer="0.3"/>
  <pageSetup orientation="portrait" r:id="rId1"/>
  <ignoredErrors>
    <ignoredError sqref="AK2:AK373 AJ2 AJ3:AJ4 AJ5:AJ18 AJ19:AJ373 AI3:AI373 AG245 AG2:AG244 AG246:AG373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EFC480-7682-4AD4-BC2D-1CE8D46BE06F}">
  <dimension ref="A1:I30"/>
  <sheetViews>
    <sheetView workbookViewId="0">
      <selection activeCell="G11" sqref="G11:G13"/>
    </sheetView>
  </sheetViews>
  <sheetFormatPr defaultRowHeight="14.5" x14ac:dyDescent="0.35"/>
  <cols>
    <col min="1" max="1" width="19.6328125" customWidth="1"/>
    <col min="5" max="5" width="31" customWidth="1"/>
    <col min="7" max="7" width="32.7265625" customWidth="1"/>
    <col min="9" max="9" width="24.54296875" bestFit="1" customWidth="1"/>
  </cols>
  <sheetData>
    <row r="1" spans="1:9" ht="15" thickBot="1" x14ac:dyDescent="0.4">
      <c r="A1" s="3" t="s">
        <v>0</v>
      </c>
    </row>
    <row r="2" spans="1:9" ht="15" thickBot="1" x14ac:dyDescent="0.4">
      <c r="A2" s="3" t="s">
        <v>1</v>
      </c>
    </row>
    <row r="3" spans="1:9" ht="15" thickBot="1" x14ac:dyDescent="0.4">
      <c r="A3" s="3" t="s">
        <v>2</v>
      </c>
    </row>
    <row r="4" spans="1:9" ht="15" thickBot="1" x14ac:dyDescent="0.4">
      <c r="A4" s="3" t="s">
        <v>3</v>
      </c>
    </row>
    <row r="5" spans="1:9" ht="15" thickBot="1" x14ac:dyDescent="0.4">
      <c r="A5" s="3" t="s">
        <v>4</v>
      </c>
      <c r="E5" s="6" t="s">
        <v>48</v>
      </c>
      <c r="G5" s="7" t="s">
        <v>16</v>
      </c>
      <c r="I5" s="8" t="s">
        <v>19</v>
      </c>
    </row>
    <row r="6" spans="1:9" ht="15" thickBot="1" x14ac:dyDescent="0.4">
      <c r="A6" s="3" t="s">
        <v>5</v>
      </c>
      <c r="E6" s="5" t="s">
        <v>3</v>
      </c>
      <c r="I6" s="3" t="s">
        <v>17</v>
      </c>
    </row>
    <row r="7" spans="1:9" ht="15" thickBot="1" x14ac:dyDescent="0.4">
      <c r="A7" s="3" t="s">
        <v>6</v>
      </c>
      <c r="E7" s="3" t="s">
        <v>4</v>
      </c>
      <c r="I7" s="3" t="s">
        <v>18</v>
      </c>
    </row>
    <row r="8" spans="1:9" ht="15" thickBot="1" x14ac:dyDescent="0.4">
      <c r="A8" s="3" t="s">
        <v>7</v>
      </c>
      <c r="E8" s="3" t="s">
        <v>5</v>
      </c>
      <c r="I8" s="3" t="s">
        <v>19</v>
      </c>
    </row>
    <row r="9" spans="1:9" ht="15" thickBot="1" x14ac:dyDescent="0.4">
      <c r="A9" s="3" t="s">
        <v>8</v>
      </c>
      <c r="E9" s="3" t="s">
        <v>6</v>
      </c>
    </row>
    <row r="10" spans="1:9" ht="15" thickBot="1" x14ac:dyDescent="0.4">
      <c r="A10" s="3" t="s">
        <v>9</v>
      </c>
      <c r="E10" s="3" t="s">
        <v>7</v>
      </c>
      <c r="G10" s="6" t="s">
        <v>49</v>
      </c>
      <c r="I10" s="8" t="s">
        <v>50</v>
      </c>
    </row>
    <row r="11" spans="1:9" ht="15" thickBot="1" x14ac:dyDescent="0.4">
      <c r="A11" s="3" t="s">
        <v>10</v>
      </c>
      <c r="E11" s="3" t="s">
        <v>8</v>
      </c>
      <c r="G11" s="5" t="s">
        <v>20</v>
      </c>
      <c r="I11" s="3" t="s">
        <v>23</v>
      </c>
    </row>
    <row r="12" spans="1:9" ht="15" thickBot="1" x14ac:dyDescent="0.4">
      <c r="A12" s="3" t="s">
        <v>11</v>
      </c>
      <c r="E12" s="3" t="s">
        <v>9</v>
      </c>
      <c r="G12" s="3" t="s">
        <v>21</v>
      </c>
      <c r="I12" s="3" t="s">
        <v>24</v>
      </c>
    </row>
    <row r="13" spans="1:9" ht="15" thickBot="1" x14ac:dyDescent="0.4">
      <c r="A13" s="3" t="s">
        <v>12</v>
      </c>
      <c r="E13" s="3" t="s">
        <v>10</v>
      </c>
      <c r="G13" s="3" t="s">
        <v>22</v>
      </c>
      <c r="I13" s="3" t="s">
        <v>25</v>
      </c>
    </row>
    <row r="14" spans="1:9" ht="15" thickBot="1" x14ac:dyDescent="0.4">
      <c r="A14" s="3" t="s">
        <v>13</v>
      </c>
      <c r="E14" s="3" t="s">
        <v>11</v>
      </c>
      <c r="I14" s="3" t="s">
        <v>26</v>
      </c>
    </row>
    <row r="15" spans="1:9" ht="15" thickBot="1" x14ac:dyDescent="0.4">
      <c r="A15" s="3" t="s">
        <v>14</v>
      </c>
      <c r="E15" s="3" t="s">
        <v>12</v>
      </c>
      <c r="I15" s="3" t="s">
        <v>27</v>
      </c>
    </row>
    <row r="16" spans="1:9" ht="15" thickBot="1" x14ac:dyDescent="0.4">
      <c r="A16" s="3" t="s">
        <v>15</v>
      </c>
      <c r="E16" s="3" t="s">
        <v>13</v>
      </c>
      <c r="I16" s="3" t="s">
        <v>28</v>
      </c>
    </row>
    <row r="17" spans="1:5" ht="15" thickBot="1" x14ac:dyDescent="0.4">
      <c r="A17" s="3" t="s">
        <v>16</v>
      </c>
      <c r="E17" s="3" t="s">
        <v>14</v>
      </c>
    </row>
    <row r="18" spans="1:5" ht="15" thickBot="1" x14ac:dyDescent="0.4">
      <c r="A18" s="3" t="s">
        <v>17</v>
      </c>
      <c r="E18" s="3" t="s">
        <v>15</v>
      </c>
    </row>
    <row r="19" spans="1:5" ht="15" thickBot="1" x14ac:dyDescent="0.4">
      <c r="A19" s="3" t="s">
        <v>18</v>
      </c>
    </row>
    <row r="20" spans="1:5" ht="15" thickBot="1" x14ac:dyDescent="0.4">
      <c r="A20" s="3" t="s">
        <v>19</v>
      </c>
    </row>
    <row r="21" spans="1:5" ht="15" thickBot="1" x14ac:dyDescent="0.4">
      <c r="A21" s="3" t="s">
        <v>20</v>
      </c>
    </row>
    <row r="22" spans="1:5" ht="15" thickBot="1" x14ac:dyDescent="0.4">
      <c r="A22" s="3" t="s">
        <v>21</v>
      </c>
    </row>
    <row r="23" spans="1:5" ht="15" thickBot="1" x14ac:dyDescent="0.4">
      <c r="A23" s="3" t="s">
        <v>22</v>
      </c>
    </row>
    <row r="24" spans="1:5" ht="15" thickBot="1" x14ac:dyDescent="0.4">
      <c r="A24" s="3" t="s">
        <v>23</v>
      </c>
    </row>
    <row r="25" spans="1:5" ht="15" thickBot="1" x14ac:dyDescent="0.4">
      <c r="A25" s="3" t="s">
        <v>24</v>
      </c>
    </row>
    <row r="26" spans="1:5" ht="15" thickBot="1" x14ac:dyDescent="0.4">
      <c r="A26" s="3" t="s">
        <v>25</v>
      </c>
    </row>
    <row r="27" spans="1:5" ht="15" thickBot="1" x14ac:dyDescent="0.4">
      <c r="A27" s="3" t="s">
        <v>26</v>
      </c>
    </row>
    <row r="28" spans="1:5" ht="15" thickBot="1" x14ac:dyDescent="0.4">
      <c r="A28" s="3" t="s">
        <v>27</v>
      </c>
    </row>
    <row r="29" spans="1:5" ht="15" thickBot="1" x14ac:dyDescent="0.4">
      <c r="A29" s="3" t="s">
        <v>28</v>
      </c>
    </row>
    <row r="30" spans="1:5" ht="15" thickBot="1" x14ac:dyDescent="0.4">
      <c r="A30" s="3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100FD-2234-400C-845E-12EA9E0F3084}">
  <dimension ref="A1:N125"/>
  <sheetViews>
    <sheetView workbookViewId="0">
      <selection activeCell="A2" sqref="A2:A125"/>
    </sheetView>
  </sheetViews>
  <sheetFormatPr defaultRowHeight="14.5" x14ac:dyDescent="0.35"/>
  <sheetData>
    <row r="1" spans="1:14" ht="15" thickBot="1" x14ac:dyDescent="0.4">
      <c r="B1" s="1" t="s">
        <v>0</v>
      </c>
      <c r="C1" s="1" t="s">
        <v>20</v>
      </c>
      <c r="F1" s="1" t="s">
        <v>0</v>
      </c>
      <c r="G1" s="1" t="s">
        <v>20</v>
      </c>
      <c r="J1" s="1" t="s">
        <v>0</v>
      </c>
      <c r="K1" s="1" t="s">
        <v>20</v>
      </c>
      <c r="M1" s="1" t="s">
        <v>1</v>
      </c>
      <c r="N1" s="1" t="s">
        <v>2</v>
      </c>
    </row>
    <row r="2" spans="1:14" ht="26.5" thickBot="1" x14ac:dyDescent="0.4">
      <c r="A2">
        <v>1</v>
      </c>
      <c r="B2" s="1" t="s">
        <v>30</v>
      </c>
      <c r="C2" s="2">
        <v>100.3</v>
      </c>
      <c r="F2" s="1" t="s">
        <v>34</v>
      </c>
      <c r="G2" s="2">
        <v>100.3</v>
      </c>
      <c r="J2" s="1" t="s">
        <v>33</v>
      </c>
      <c r="K2" s="2">
        <v>100.3</v>
      </c>
      <c r="M2" s="2">
        <v>2013</v>
      </c>
      <c r="N2" s="1" t="s">
        <v>31</v>
      </c>
    </row>
    <row r="3" spans="1:14" ht="26.5" thickBot="1" x14ac:dyDescent="0.4">
      <c r="A3">
        <v>4</v>
      </c>
      <c r="B3" s="1" t="s">
        <v>30</v>
      </c>
      <c r="C3" s="2">
        <v>100.4</v>
      </c>
      <c r="F3" s="1" t="s">
        <v>34</v>
      </c>
      <c r="G3" s="2">
        <v>100.4</v>
      </c>
      <c r="J3" s="1" t="s">
        <v>33</v>
      </c>
      <c r="K3" s="2">
        <v>100.4</v>
      </c>
      <c r="M3" s="2">
        <v>2013</v>
      </c>
      <c r="N3" s="1" t="s">
        <v>35</v>
      </c>
    </row>
    <row r="4" spans="1:14" ht="26.5" thickBot="1" x14ac:dyDescent="0.4">
      <c r="A4">
        <v>7</v>
      </c>
      <c r="B4" s="1" t="s">
        <v>30</v>
      </c>
      <c r="C4" s="2">
        <v>100.4</v>
      </c>
      <c r="F4" s="1" t="s">
        <v>34</v>
      </c>
      <c r="G4" s="2">
        <v>100.4</v>
      </c>
      <c r="J4" s="1" t="s">
        <v>33</v>
      </c>
      <c r="K4" s="2">
        <v>100.4</v>
      </c>
      <c r="M4" s="2">
        <v>2013</v>
      </c>
      <c r="N4" s="1" t="s">
        <v>36</v>
      </c>
    </row>
    <row r="5" spans="1:14" ht="26.5" thickBot="1" x14ac:dyDescent="0.4">
      <c r="A5">
        <v>10</v>
      </c>
      <c r="B5" s="1" t="s">
        <v>30</v>
      </c>
      <c r="C5" s="2">
        <v>100.5</v>
      </c>
      <c r="F5" s="1" t="s">
        <v>34</v>
      </c>
      <c r="G5" s="2">
        <v>100.5</v>
      </c>
      <c r="J5" s="1" t="s">
        <v>33</v>
      </c>
      <c r="K5" s="2">
        <v>100.5</v>
      </c>
      <c r="M5" s="2">
        <v>2013</v>
      </c>
      <c r="N5" s="1" t="s">
        <v>37</v>
      </c>
    </row>
    <row r="6" spans="1:14" ht="26.5" thickBot="1" x14ac:dyDescent="0.4">
      <c r="A6">
        <v>13</v>
      </c>
      <c r="B6" s="1" t="s">
        <v>30</v>
      </c>
      <c r="C6" s="2">
        <v>100.5</v>
      </c>
      <c r="F6" s="1" t="s">
        <v>34</v>
      </c>
      <c r="G6" s="2">
        <v>100.5</v>
      </c>
      <c r="J6" s="1" t="s">
        <v>33</v>
      </c>
      <c r="K6" s="2">
        <v>100.5</v>
      </c>
      <c r="M6" s="2">
        <v>2013</v>
      </c>
      <c r="N6" s="1" t="s">
        <v>38</v>
      </c>
    </row>
    <row r="7" spans="1:14" ht="26.5" thickBot="1" x14ac:dyDescent="0.4">
      <c r="A7">
        <v>16</v>
      </c>
      <c r="B7" s="1" t="s">
        <v>30</v>
      </c>
      <c r="C7" s="2">
        <v>106.6</v>
      </c>
      <c r="F7" s="1" t="s">
        <v>34</v>
      </c>
      <c r="G7" s="2">
        <v>106.6</v>
      </c>
      <c r="J7" s="1" t="s">
        <v>33</v>
      </c>
      <c r="K7" s="2">
        <v>106.6</v>
      </c>
      <c r="M7" s="2">
        <v>2013</v>
      </c>
      <c r="N7" s="1" t="s">
        <v>39</v>
      </c>
    </row>
    <row r="8" spans="1:14" ht="26.5" thickBot="1" x14ac:dyDescent="0.4">
      <c r="A8">
        <v>19</v>
      </c>
      <c r="B8" s="1" t="s">
        <v>30</v>
      </c>
      <c r="C8" s="2">
        <v>107.7</v>
      </c>
      <c r="F8" s="1" t="s">
        <v>34</v>
      </c>
      <c r="G8" s="2">
        <v>107.7</v>
      </c>
      <c r="J8" s="1" t="s">
        <v>33</v>
      </c>
      <c r="K8" s="2">
        <v>107.7</v>
      </c>
      <c r="M8" s="2">
        <v>2013</v>
      </c>
      <c r="N8" s="1" t="s">
        <v>40</v>
      </c>
    </row>
    <row r="9" spans="1:14" ht="26.5" thickBot="1" x14ac:dyDescent="0.4">
      <c r="A9">
        <v>22</v>
      </c>
      <c r="B9" s="1" t="s">
        <v>30</v>
      </c>
      <c r="C9" s="2">
        <v>108.9</v>
      </c>
      <c r="F9" s="1" t="s">
        <v>34</v>
      </c>
      <c r="G9" s="2">
        <v>108.9</v>
      </c>
      <c r="J9" s="1" t="s">
        <v>33</v>
      </c>
      <c r="K9" s="2">
        <v>108.9</v>
      </c>
      <c r="M9" s="2">
        <v>2013</v>
      </c>
      <c r="N9" s="1" t="s">
        <v>41</v>
      </c>
    </row>
    <row r="10" spans="1:14" ht="26.5" thickBot="1" x14ac:dyDescent="0.4">
      <c r="A10">
        <v>25</v>
      </c>
      <c r="B10" s="1" t="s">
        <v>30</v>
      </c>
      <c r="C10" s="2">
        <v>109.7</v>
      </c>
      <c r="F10" s="1" t="s">
        <v>34</v>
      </c>
      <c r="G10" s="2">
        <v>109.7</v>
      </c>
      <c r="J10" s="1" t="s">
        <v>33</v>
      </c>
      <c r="K10" s="2">
        <v>109.7</v>
      </c>
      <c r="M10" s="2">
        <v>2013</v>
      </c>
      <c r="N10" s="1" t="s">
        <v>42</v>
      </c>
    </row>
    <row r="11" spans="1:14" ht="26.5" thickBot="1" x14ac:dyDescent="0.4">
      <c r="A11">
        <v>28</v>
      </c>
      <c r="B11" s="1" t="s">
        <v>30</v>
      </c>
      <c r="C11" s="2">
        <v>110.5</v>
      </c>
      <c r="F11" s="1" t="s">
        <v>34</v>
      </c>
      <c r="G11" s="2">
        <v>110.5</v>
      </c>
      <c r="J11" s="1" t="s">
        <v>33</v>
      </c>
      <c r="K11" s="2">
        <v>110.5</v>
      </c>
      <c r="M11" s="2">
        <v>2013</v>
      </c>
      <c r="N11" s="1" t="s">
        <v>43</v>
      </c>
    </row>
    <row r="12" spans="1:14" ht="26.5" thickBot="1" x14ac:dyDescent="0.4">
      <c r="A12">
        <v>31</v>
      </c>
      <c r="B12" s="1" t="s">
        <v>30</v>
      </c>
      <c r="C12" s="2">
        <v>111.1</v>
      </c>
      <c r="F12" s="1" t="s">
        <v>34</v>
      </c>
      <c r="G12" s="2">
        <v>111.1</v>
      </c>
      <c r="J12" s="1" t="s">
        <v>33</v>
      </c>
      <c r="K12" s="2">
        <v>111.1</v>
      </c>
      <c r="M12" s="2">
        <v>2013</v>
      </c>
      <c r="N12" s="1" t="s">
        <v>44</v>
      </c>
    </row>
    <row r="13" spans="1:14" ht="26.5" thickBot="1" x14ac:dyDescent="0.4">
      <c r="A13">
        <v>34</v>
      </c>
      <c r="B13" s="1" t="s">
        <v>30</v>
      </c>
      <c r="C13" s="2">
        <v>110.7</v>
      </c>
      <c r="F13" s="1" t="s">
        <v>34</v>
      </c>
      <c r="G13" s="2">
        <v>110.7</v>
      </c>
      <c r="J13" s="1" t="s">
        <v>33</v>
      </c>
      <c r="K13" s="2">
        <v>110.7</v>
      </c>
      <c r="M13" s="2">
        <v>2013</v>
      </c>
      <c r="N13" s="1" t="s">
        <v>45</v>
      </c>
    </row>
    <row r="14" spans="1:14" ht="26.5" thickBot="1" x14ac:dyDescent="0.4">
      <c r="A14">
        <v>37</v>
      </c>
      <c r="B14" s="1" t="s">
        <v>30</v>
      </c>
      <c r="C14" s="2">
        <v>111.6</v>
      </c>
      <c r="F14" s="1" t="s">
        <v>34</v>
      </c>
      <c r="G14" s="2">
        <v>111.6</v>
      </c>
      <c r="J14" s="1" t="s">
        <v>33</v>
      </c>
      <c r="K14" s="2">
        <v>111.6</v>
      </c>
      <c r="M14" s="2">
        <v>2014</v>
      </c>
      <c r="N14" s="1" t="s">
        <v>31</v>
      </c>
    </row>
    <row r="15" spans="1:14" ht="26.5" thickBot="1" x14ac:dyDescent="0.4">
      <c r="A15">
        <v>40</v>
      </c>
      <c r="B15" s="1" t="s">
        <v>30</v>
      </c>
      <c r="C15" s="2">
        <v>112.5</v>
      </c>
      <c r="F15" s="1" t="s">
        <v>34</v>
      </c>
      <c r="G15" s="2">
        <v>112.5</v>
      </c>
      <c r="J15" s="1" t="s">
        <v>33</v>
      </c>
      <c r="K15" s="2">
        <v>112.5</v>
      </c>
      <c r="M15" s="2">
        <v>2014</v>
      </c>
      <c r="N15" s="1" t="s">
        <v>35</v>
      </c>
    </row>
    <row r="16" spans="1:14" ht="26.5" thickBot="1" x14ac:dyDescent="0.4">
      <c r="A16">
        <v>43</v>
      </c>
      <c r="B16" s="1" t="s">
        <v>30</v>
      </c>
      <c r="C16" s="2">
        <v>113.2</v>
      </c>
      <c r="F16" s="1" t="s">
        <v>34</v>
      </c>
      <c r="G16" s="2">
        <v>113.2</v>
      </c>
      <c r="J16" s="1" t="s">
        <v>33</v>
      </c>
      <c r="K16" s="2">
        <v>113.2</v>
      </c>
      <c r="M16" s="2">
        <v>2014</v>
      </c>
      <c r="N16" s="1" t="s">
        <v>36</v>
      </c>
    </row>
    <row r="17" spans="1:14" ht="26.5" thickBot="1" x14ac:dyDescent="0.4">
      <c r="A17">
        <v>46</v>
      </c>
      <c r="B17" s="1" t="s">
        <v>30</v>
      </c>
      <c r="C17" s="2">
        <v>113.9</v>
      </c>
      <c r="F17" s="1" t="s">
        <v>34</v>
      </c>
      <c r="G17" s="2">
        <v>113.9</v>
      </c>
      <c r="J17" s="1" t="s">
        <v>33</v>
      </c>
      <c r="K17" s="2">
        <v>113.9</v>
      </c>
      <c r="M17" s="2">
        <v>2014</v>
      </c>
      <c r="N17" s="1" t="s">
        <v>37</v>
      </c>
    </row>
    <row r="18" spans="1:14" ht="26.5" thickBot="1" x14ac:dyDescent="0.4">
      <c r="A18">
        <v>49</v>
      </c>
      <c r="B18" s="1" t="s">
        <v>30</v>
      </c>
      <c r="C18" s="2">
        <v>114.3</v>
      </c>
      <c r="F18" s="1" t="s">
        <v>34</v>
      </c>
      <c r="G18" s="2">
        <v>114.3</v>
      </c>
      <c r="J18" s="1" t="s">
        <v>33</v>
      </c>
      <c r="K18" s="2">
        <v>114.3</v>
      </c>
      <c r="M18" s="2">
        <v>2014</v>
      </c>
      <c r="N18" s="1" t="s">
        <v>38</v>
      </c>
    </row>
    <row r="19" spans="1:14" ht="26.5" thickBot="1" x14ac:dyDescent="0.4">
      <c r="A19">
        <v>52</v>
      </c>
      <c r="B19" s="1" t="s">
        <v>30</v>
      </c>
      <c r="C19" s="2">
        <v>113.9</v>
      </c>
      <c r="F19" s="1" t="s">
        <v>34</v>
      </c>
      <c r="G19" s="2">
        <v>113.9</v>
      </c>
      <c r="J19" s="1" t="s">
        <v>33</v>
      </c>
      <c r="K19" s="2">
        <v>113.9</v>
      </c>
      <c r="M19" s="2">
        <v>2014</v>
      </c>
      <c r="N19" s="1" t="s">
        <v>39</v>
      </c>
    </row>
    <row r="20" spans="1:14" ht="26.5" thickBot="1" x14ac:dyDescent="0.4">
      <c r="A20">
        <v>55</v>
      </c>
      <c r="B20" s="1" t="s">
        <v>30</v>
      </c>
      <c r="C20" s="2">
        <v>114.8</v>
      </c>
      <c r="F20" s="1" t="s">
        <v>34</v>
      </c>
      <c r="G20" s="2">
        <v>114.8</v>
      </c>
      <c r="J20" s="1" t="s">
        <v>33</v>
      </c>
      <c r="K20" s="2">
        <v>114.8</v>
      </c>
      <c r="M20" s="2">
        <v>2014</v>
      </c>
      <c r="N20" s="1" t="s">
        <v>40</v>
      </c>
    </row>
    <row r="21" spans="1:14" ht="26.5" thickBot="1" x14ac:dyDescent="0.4">
      <c r="A21">
        <v>58</v>
      </c>
      <c r="B21" s="1" t="s">
        <v>30</v>
      </c>
      <c r="C21" s="2">
        <v>115.5</v>
      </c>
      <c r="F21" s="1" t="s">
        <v>34</v>
      </c>
      <c r="G21" s="2">
        <v>115.5</v>
      </c>
      <c r="J21" s="1" t="s">
        <v>33</v>
      </c>
      <c r="K21" s="2">
        <v>115.5</v>
      </c>
      <c r="M21" s="2">
        <v>2014</v>
      </c>
      <c r="N21" s="1" t="s">
        <v>41</v>
      </c>
    </row>
    <row r="22" spans="1:14" ht="26.5" thickBot="1" x14ac:dyDescent="0.4">
      <c r="A22">
        <v>61</v>
      </c>
      <c r="B22" s="1" t="s">
        <v>30</v>
      </c>
      <c r="C22" s="2">
        <v>116.1</v>
      </c>
      <c r="F22" s="1" t="s">
        <v>34</v>
      </c>
      <c r="G22" s="2">
        <v>116.1</v>
      </c>
      <c r="J22" s="1" t="s">
        <v>33</v>
      </c>
      <c r="K22" s="2">
        <v>116.1</v>
      </c>
      <c r="M22" s="2">
        <v>2014</v>
      </c>
      <c r="N22" s="1" t="s">
        <v>42</v>
      </c>
    </row>
    <row r="23" spans="1:14" ht="26.5" thickBot="1" x14ac:dyDescent="0.4">
      <c r="A23">
        <v>64</v>
      </c>
      <c r="B23" s="1" t="s">
        <v>30</v>
      </c>
      <c r="C23" s="2">
        <v>116.7</v>
      </c>
      <c r="F23" s="1" t="s">
        <v>34</v>
      </c>
      <c r="G23" s="2">
        <v>116.7</v>
      </c>
      <c r="J23" s="1" t="s">
        <v>33</v>
      </c>
      <c r="K23" s="2">
        <v>116.7</v>
      </c>
      <c r="M23" s="2">
        <v>2014</v>
      </c>
      <c r="N23" s="1" t="s">
        <v>43</v>
      </c>
    </row>
    <row r="24" spans="1:14" ht="26.5" thickBot="1" x14ac:dyDescent="0.4">
      <c r="A24">
        <v>67</v>
      </c>
      <c r="B24" s="1" t="s">
        <v>30</v>
      </c>
      <c r="C24" s="2">
        <v>117.1</v>
      </c>
      <c r="F24" s="1" t="s">
        <v>34</v>
      </c>
      <c r="G24" s="2">
        <v>117.1</v>
      </c>
      <c r="J24" s="1" t="s">
        <v>33</v>
      </c>
      <c r="K24" s="2">
        <v>117.1</v>
      </c>
      <c r="M24" s="2">
        <v>2014</v>
      </c>
      <c r="N24" s="1" t="s">
        <v>44</v>
      </c>
    </row>
    <row r="25" spans="1:14" ht="26.5" thickBot="1" x14ac:dyDescent="0.4">
      <c r="A25">
        <v>70</v>
      </c>
      <c r="B25" s="1" t="s">
        <v>30</v>
      </c>
      <c r="C25" s="2">
        <v>116.5</v>
      </c>
      <c r="F25" s="1" t="s">
        <v>34</v>
      </c>
      <c r="G25" s="2">
        <v>116.5</v>
      </c>
      <c r="J25" s="1" t="s">
        <v>33</v>
      </c>
      <c r="K25" s="2">
        <v>116.5</v>
      </c>
      <c r="M25" s="2">
        <v>2014</v>
      </c>
      <c r="N25" s="1" t="s">
        <v>45</v>
      </c>
    </row>
    <row r="26" spans="1:14" ht="26.5" thickBot="1" x14ac:dyDescent="0.4">
      <c r="A26">
        <v>73</v>
      </c>
      <c r="B26" s="1" t="s">
        <v>30</v>
      </c>
      <c r="C26" s="2">
        <v>117.3</v>
      </c>
      <c r="F26" s="1" t="s">
        <v>34</v>
      </c>
      <c r="G26" s="2">
        <v>117.3</v>
      </c>
      <c r="J26" s="1" t="s">
        <v>33</v>
      </c>
      <c r="K26" s="2">
        <v>117.3</v>
      </c>
      <c r="M26" s="2">
        <v>2015</v>
      </c>
      <c r="N26" s="1" t="s">
        <v>31</v>
      </c>
    </row>
    <row r="27" spans="1:14" ht="26.5" thickBot="1" x14ac:dyDescent="0.4">
      <c r="A27">
        <v>76</v>
      </c>
      <c r="B27" s="1" t="s">
        <v>30</v>
      </c>
      <c r="C27" s="2">
        <v>118.1</v>
      </c>
      <c r="F27" s="1" t="s">
        <v>34</v>
      </c>
      <c r="G27" s="2">
        <v>118.1</v>
      </c>
      <c r="J27" s="1" t="s">
        <v>33</v>
      </c>
      <c r="K27" s="2">
        <v>118.1</v>
      </c>
      <c r="M27" s="2">
        <v>2015</v>
      </c>
      <c r="N27" s="1" t="s">
        <v>35</v>
      </c>
    </row>
    <row r="28" spans="1:14" ht="26.5" thickBot="1" x14ac:dyDescent="0.4">
      <c r="A28">
        <v>79</v>
      </c>
      <c r="B28" s="1" t="s">
        <v>30</v>
      </c>
      <c r="C28" s="2">
        <v>118.6</v>
      </c>
      <c r="F28" s="1" t="s">
        <v>34</v>
      </c>
      <c r="G28" s="2">
        <v>118.6</v>
      </c>
      <c r="J28" s="1" t="s">
        <v>33</v>
      </c>
      <c r="K28" s="2">
        <v>118.6</v>
      </c>
      <c r="M28" s="2">
        <v>2015</v>
      </c>
      <c r="N28" s="1" t="s">
        <v>36</v>
      </c>
    </row>
    <row r="29" spans="1:14" ht="26.5" thickBot="1" x14ac:dyDescent="0.4">
      <c r="A29">
        <v>82</v>
      </c>
      <c r="B29" s="1" t="s">
        <v>30</v>
      </c>
      <c r="C29" s="2">
        <v>119.2</v>
      </c>
      <c r="F29" s="1" t="s">
        <v>34</v>
      </c>
      <c r="G29" s="2">
        <v>119.2</v>
      </c>
      <c r="J29" s="1" t="s">
        <v>33</v>
      </c>
      <c r="K29" s="2">
        <v>119.2</v>
      </c>
      <c r="M29" s="2">
        <v>2015</v>
      </c>
      <c r="N29" s="1" t="s">
        <v>37</v>
      </c>
    </row>
    <row r="30" spans="1:14" ht="26.5" thickBot="1" x14ac:dyDescent="0.4">
      <c r="A30">
        <v>85</v>
      </c>
      <c r="B30" s="1" t="s">
        <v>30</v>
      </c>
      <c r="C30" s="2">
        <v>119.6</v>
      </c>
      <c r="F30" s="1" t="s">
        <v>34</v>
      </c>
      <c r="G30" s="2">
        <v>119.6</v>
      </c>
      <c r="J30" s="1" t="s">
        <v>33</v>
      </c>
      <c r="K30" s="2">
        <v>119.6</v>
      </c>
      <c r="M30" s="2">
        <v>2015</v>
      </c>
      <c r="N30" s="1" t="s">
        <v>38</v>
      </c>
    </row>
    <row r="31" spans="1:14" ht="26.5" thickBot="1" x14ac:dyDescent="0.4">
      <c r="A31">
        <v>88</v>
      </c>
      <c r="B31" s="1" t="s">
        <v>30</v>
      </c>
      <c r="C31" s="2">
        <v>119</v>
      </c>
      <c r="F31" s="1" t="s">
        <v>34</v>
      </c>
      <c r="G31" s="2">
        <v>119</v>
      </c>
      <c r="J31" s="1" t="s">
        <v>33</v>
      </c>
      <c r="K31" s="2">
        <v>119</v>
      </c>
      <c r="M31" s="2">
        <v>2015</v>
      </c>
      <c r="N31" s="1" t="s">
        <v>39</v>
      </c>
    </row>
    <row r="32" spans="1:14" ht="26.5" thickBot="1" x14ac:dyDescent="0.4">
      <c r="A32">
        <v>91</v>
      </c>
      <c r="B32" s="1" t="s">
        <v>30</v>
      </c>
      <c r="C32" s="2">
        <v>119.9</v>
      </c>
      <c r="F32" s="1" t="s">
        <v>34</v>
      </c>
      <c r="G32" s="2">
        <v>119.9</v>
      </c>
      <c r="J32" s="1" t="s">
        <v>33</v>
      </c>
      <c r="K32" s="2">
        <v>119.9</v>
      </c>
      <c r="M32" s="2">
        <v>2015</v>
      </c>
      <c r="N32" s="1" t="s">
        <v>40</v>
      </c>
    </row>
    <row r="33" spans="1:14" ht="26.5" thickBot="1" x14ac:dyDescent="0.4">
      <c r="A33">
        <v>94</v>
      </c>
      <c r="B33" s="1" t="s">
        <v>30</v>
      </c>
      <c r="C33" s="2">
        <v>120.9</v>
      </c>
      <c r="F33" s="1" t="s">
        <v>34</v>
      </c>
      <c r="G33" s="2">
        <v>120.9</v>
      </c>
      <c r="J33" s="1" t="s">
        <v>33</v>
      </c>
      <c r="K33" s="2">
        <v>120.9</v>
      </c>
      <c r="M33" s="2">
        <v>2015</v>
      </c>
      <c r="N33" s="1" t="s">
        <v>41</v>
      </c>
    </row>
    <row r="34" spans="1:14" ht="26.5" thickBot="1" x14ac:dyDescent="0.4">
      <c r="A34">
        <v>97</v>
      </c>
      <c r="B34" s="1" t="s">
        <v>30</v>
      </c>
      <c r="C34" s="2">
        <v>121.6</v>
      </c>
      <c r="F34" s="1" t="s">
        <v>34</v>
      </c>
      <c r="G34" s="2">
        <v>121.6</v>
      </c>
      <c r="J34" s="1" t="s">
        <v>33</v>
      </c>
      <c r="K34" s="2">
        <v>121.6</v>
      </c>
      <c r="M34" s="2">
        <v>2015</v>
      </c>
      <c r="N34" s="1" t="s">
        <v>42</v>
      </c>
    </row>
    <row r="35" spans="1:14" ht="26.5" thickBot="1" x14ac:dyDescent="0.4">
      <c r="A35">
        <v>100</v>
      </c>
      <c r="B35" s="1" t="s">
        <v>30</v>
      </c>
      <c r="C35" s="2">
        <v>122.4</v>
      </c>
      <c r="F35" s="1" t="s">
        <v>34</v>
      </c>
      <c r="G35" s="2">
        <v>122.4</v>
      </c>
      <c r="J35" s="1" t="s">
        <v>33</v>
      </c>
      <c r="K35" s="2">
        <v>122.4</v>
      </c>
      <c r="M35" s="2">
        <v>2015</v>
      </c>
      <c r="N35" s="1" t="s">
        <v>43</v>
      </c>
    </row>
    <row r="36" spans="1:14" ht="26.5" thickBot="1" x14ac:dyDescent="0.4">
      <c r="A36">
        <v>103</v>
      </c>
      <c r="B36" s="1" t="s">
        <v>30</v>
      </c>
      <c r="C36" s="2">
        <v>122.9</v>
      </c>
      <c r="F36" s="1" t="s">
        <v>34</v>
      </c>
      <c r="G36" s="2">
        <v>122.9</v>
      </c>
      <c r="J36" s="1" t="s">
        <v>33</v>
      </c>
      <c r="K36" s="2">
        <v>122.9</v>
      </c>
      <c r="M36" s="2">
        <v>2015</v>
      </c>
      <c r="N36" s="1" t="s">
        <v>44</v>
      </c>
    </row>
    <row r="37" spans="1:14" ht="26.5" thickBot="1" x14ac:dyDescent="0.4">
      <c r="A37">
        <v>106</v>
      </c>
      <c r="B37" s="1" t="s">
        <v>30</v>
      </c>
      <c r="C37" s="2">
        <v>122.4</v>
      </c>
      <c r="F37" s="1" t="s">
        <v>34</v>
      </c>
      <c r="G37" s="2">
        <v>122.4</v>
      </c>
      <c r="J37" s="1" t="s">
        <v>33</v>
      </c>
      <c r="K37" s="2">
        <v>122.4</v>
      </c>
      <c r="M37" s="2">
        <v>2015</v>
      </c>
      <c r="N37" s="1" t="s">
        <v>45</v>
      </c>
    </row>
    <row r="38" spans="1:14" ht="26.5" thickBot="1" x14ac:dyDescent="0.4">
      <c r="A38">
        <v>109</v>
      </c>
      <c r="B38" s="1" t="s">
        <v>30</v>
      </c>
      <c r="C38" s="2">
        <v>123.4</v>
      </c>
      <c r="F38" s="1" t="s">
        <v>34</v>
      </c>
      <c r="G38" s="2">
        <v>123.4</v>
      </c>
      <c r="J38" s="1" t="s">
        <v>33</v>
      </c>
      <c r="K38" s="2">
        <v>123.4</v>
      </c>
      <c r="M38" s="2">
        <v>2016</v>
      </c>
      <c r="N38" s="1" t="s">
        <v>31</v>
      </c>
    </row>
    <row r="39" spans="1:14" ht="26.5" thickBot="1" x14ac:dyDescent="0.4">
      <c r="A39">
        <v>112</v>
      </c>
      <c r="B39" s="1" t="s">
        <v>30</v>
      </c>
      <c r="C39" s="2">
        <v>124.4</v>
      </c>
      <c r="F39" s="1" t="s">
        <v>34</v>
      </c>
      <c r="G39" s="2">
        <v>124.4</v>
      </c>
      <c r="J39" s="1" t="s">
        <v>33</v>
      </c>
      <c r="K39" s="2">
        <v>124.4</v>
      </c>
      <c r="M39" s="2">
        <v>2016</v>
      </c>
      <c r="N39" s="1" t="s">
        <v>35</v>
      </c>
    </row>
    <row r="40" spans="1:14" ht="26.5" thickBot="1" x14ac:dyDescent="0.4">
      <c r="A40">
        <v>115</v>
      </c>
      <c r="B40" s="1" t="s">
        <v>30</v>
      </c>
      <c r="C40" s="2">
        <v>124.9</v>
      </c>
      <c r="F40" s="1" t="s">
        <v>34</v>
      </c>
      <c r="G40" s="2">
        <v>124.9</v>
      </c>
      <c r="J40" s="1" t="s">
        <v>33</v>
      </c>
      <c r="K40" s="2">
        <v>124.9</v>
      </c>
      <c r="M40" s="2">
        <v>2016</v>
      </c>
      <c r="N40" s="1" t="s">
        <v>36</v>
      </c>
    </row>
    <row r="41" spans="1:14" ht="26.5" thickBot="1" x14ac:dyDescent="0.4">
      <c r="A41">
        <v>118</v>
      </c>
      <c r="B41" s="1" t="s">
        <v>30</v>
      </c>
      <c r="C41" s="2">
        <v>125.6</v>
      </c>
      <c r="F41" s="1" t="s">
        <v>34</v>
      </c>
      <c r="G41" s="2">
        <v>125.6</v>
      </c>
      <c r="J41" s="1" t="s">
        <v>33</v>
      </c>
      <c r="K41" s="2">
        <v>125.6</v>
      </c>
      <c r="M41" s="2">
        <v>2016</v>
      </c>
      <c r="N41" s="1" t="s">
        <v>37</v>
      </c>
    </row>
    <row r="42" spans="1:14" ht="26.5" thickBot="1" x14ac:dyDescent="0.4">
      <c r="A42">
        <v>121</v>
      </c>
      <c r="B42" s="1" t="s">
        <v>30</v>
      </c>
      <c r="C42" s="2">
        <v>126</v>
      </c>
      <c r="F42" s="1" t="s">
        <v>34</v>
      </c>
      <c r="G42" s="2">
        <v>126</v>
      </c>
      <c r="J42" s="1" t="s">
        <v>33</v>
      </c>
      <c r="K42" s="2">
        <v>126</v>
      </c>
      <c r="M42" s="2">
        <v>2016</v>
      </c>
      <c r="N42" s="1" t="s">
        <v>38</v>
      </c>
    </row>
    <row r="43" spans="1:14" ht="26.5" thickBot="1" x14ac:dyDescent="0.4">
      <c r="A43">
        <v>124</v>
      </c>
      <c r="B43" s="1" t="s">
        <v>30</v>
      </c>
      <c r="C43" s="2">
        <v>125.5</v>
      </c>
      <c r="F43" s="1" t="s">
        <v>34</v>
      </c>
      <c r="G43" s="2">
        <v>125.5</v>
      </c>
      <c r="J43" s="1" t="s">
        <v>33</v>
      </c>
      <c r="K43" s="2">
        <v>125.5</v>
      </c>
      <c r="M43" s="2">
        <v>2016</v>
      </c>
      <c r="N43" s="1" t="s">
        <v>39</v>
      </c>
    </row>
    <row r="44" spans="1:14" ht="26.5" thickBot="1" x14ac:dyDescent="0.4">
      <c r="A44">
        <v>127</v>
      </c>
      <c r="B44" s="1" t="s">
        <v>30</v>
      </c>
      <c r="C44" s="2">
        <v>126.4</v>
      </c>
      <c r="F44" s="1" t="s">
        <v>34</v>
      </c>
      <c r="G44" s="2">
        <v>126.4</v>
      </c>
      <c r="J44" s="1" t="s">
        <v>33</v>
      </c>
      <c r="K44" s="2">
        <v>126.4</v>
      </c>
      <c r="M44" s="2">
        <v>2016</v>
      </c>
      <c r="N44" s="1" t="s">
        <v>40</v>
      </c>
    </row>
    <row r="45" spans="1:14" ht="26.5" thickBot="1" x14ac:dyDescent="0.4">
      <c r="A45">
        <v>130</v>
      </c>
      <c r="B45" s="1" t="s">
        <v>30</v>
      </c>
      <c r="C45" s="2">
        <v>127.3</v>
      </c>
      <c r="F45" s="1" t="s">
        <v>34</v>
      </c>
      <c r="G45" s="2">
        <v>127.3</v>
      </c>
      <c r="J45" s="1" t="s">
        <v>33</v>
      </c>
      <c r="K45" s="2">
        <v>127.3</v>
      </c>
      <c r="M45" s="2">
        <v>2016</v>
      </c>
      <c r="N45" s="1" t="s">
        <v>41</v>
      </c>
    </row>
    <row r="46" spans="1:14" ht="26.5" thickBot="1" x14ac:dyDescent="0.4">
      <c r="A46">
        <v>133</v>
      </c>
      <c r="B46" s="1" t="s">
        <v>30</v>
      </c>
      <c r="C46" s="2">
        <v>127.9</v>
      </c>
      <c r="F46" s="1" t="s">
        <v>34</v>
      </c>
      <c r="G46" s="2">
        <v>127.9</v>
      </c>
      <c r="J46" s="1" t="s">
        <v>33</v>
      </c>
      <c r="K46" s="2">
        <v>127.9</v>
      </c>
      <c r="M46" s="2">
        <v>2016</v>
      </c>
      <c r="N46" s="1" t="s">
        <v>42</v>
      </c>
    </row>
    <row r="47" spans="1:14" ht="26.5" thickBot="1" x14ac:dyDescent="0.4">
      <c r="A47">
        <v>136</v>
      </c>
      <c r="B47" s="1" t="s">
        <v>30</v>
      </c>
      <c r="C47" s="2">
        <v>128.69999999999999</v>
      </c>
      <c r="F47" s="1" t="s">
        <v>34</v>
      </c>
      <c r="G47" s="2">
        <v>128.69999999999999</v>
      </c>
      <c r="J47" s="1" t="s">
        <v>33</v>
      </c>
      <c r="K47" s="2">
        <v>128.69999999999999</v>
      </c>
      <c r="M47" s="2">
        <v>2016</v>
      </c>
      <c r="N47" s="1" t="s">
        <v>43</v>
      </c>
    </row>
    <row r="48" spans="1:14" ht="26.5" thickBot="1" x14ac:dyDescent="0.4">
      <c r="A48">
        <v>139</v>
      </c>
      <c r="B48" s="1" t="s">
        <v>30</v>
      </c>
      <c r="C48" s="2">
        <v>129.1</v>
      </c>
      <c r="F48" s="1" t="s">
        <v>34</v>
      </c>
      <c r="G48" s="2">
        <v>129.1</v>
      </c>
      <c r="J48" s="1" t="s">
        <v>33</v>
      </c>
      <c r="K48" s="2">
        <v>129.1</v>
      </c>
      <c r="M48" s="2">
        <v>2016</v>
      </c>
      <c r="N48" s="1" t="s">
        <v>44</v>
      </c>
    </row>
    <row r="49" spans="1:14" ht="26.5" thickBot="1" x14ac:dyDescent="0.4">
      <c r="A49">
        <v>142</v>
      </c>
      <c r="B49" s="1" t="s">
        <v>30</v>
      </c>
      <c r="C49" s="2">
        <v>128.5</v>
      </c>
      <c r="F49" s="1" t="s">
        <v>34</v>
      </c>
      <c r="G49" s="2">
        <v>128.5</v>
      </c>
      <c r="J49" s="1" t="s">
        <v>33</v>
      </c>
      <c r="K49" s="2">
        <v>128.5</v>
      </c>
      <c r="M49" s="2">
        <v>2016</v>
      </c>
      <c r="N49" s="1" t="s">
        <v>45</v>
      </c>
    </row>
    <row r="50" spans="1:14" ht="26.5" thickBot="1" x14ac:dyDescent="0.4">
      <c r="A50">
        <v>145</v>
      </c>
      <c r="B50" s="1" t="s">
        <v>30</v>
      </c>
      <c r="C50" s="2">
        <v>129.6</v>
      </c>
      <c r="F50" s="1" t="s">
        <v>34</v>
      </c>
      <c r="G50" s="2">
        <v>129.6</v>
      </c>
      <c r="J50" s="1" t="s">
        <v>33</v>
      </c>
      <c r="K50" s="2">
        <v>129.6</v>
      </c>
      <c r="M50" s="2">
        <v>2017</v>
      </c>
      <c r="N50" s="1" t="s">
        <v>31</v>
      </c>
    </row>
    <row r="51" spans="1:14" ht="26.5" thickBot="1" x14ac:dyDescent="0.4">
      <c r="A51">
        <v>148</v>
      </c>
      <c r="B51" s="1" t="s">
        <v>30</v>
      </c>
      <c r="C51" s="2">
        <v>130.5</v>
      </c>
      <c r="F51" s="1" t="s">
        <v>34</v>
      </c>
      <c r="G51" s="2">
        <v>130.5</v>
      </c>
      <c r="J51" s="1" t="s">
        <v>33</v>
      </c>
      <c r="K51" s="2">
        <v>130.5</v>
      </c>
      <c r="M51" s="2">
        <v>2017</v>
      </c>
      <c r="N51" s="1" t="s">
        <v>35</v>
      </c>
    </row>
    <row r="52" spans="1:14" ht="26.5" thickBot="1" x14ac:dyDescent="0.4">
      <c r="A52">
        <v>151</v>
      </c>
      <c r="B52" s="1" t="s">
        <v>30</v>
      </c>
      <c r="C52" s="2">
        <v>131.1</v>
      </c>
      <c r="F52" s="1" t="s">
        <v>34</v>
      </c>
      <c r="G52" s="2">
        <v>131.1</v>
      </c>
      <c r="J52" s="1" t="s">
        <v>33</v>
      </c>
      <c r="K52" s="2">
        <v>131.1</v>
      </c>
      <c r="M52" s="2">
        <v>2017</v>
      </c>
      <c r="N52" s="1" t="s">
        <v>36</v>
      </c>
    </row>
    <row r="53" spans="1:14" ht="26.5" thickBot="1" x14ac:dyDescent="0.4">
      <c r="A53">
        <v>154</v>
      </c>
      <c r="B53" s="1" t="s">
        <v>30</v>
      </c>
      <c r="C53" s="2">
        <v>131.69999999999999</v>
      </c>
      <c r="F53" s="1" t="s">
        <v>34</v>
      </c>
      <c r="G53" s="2">
        <v>131.69999999999999</v>
      </c>
      <c r="J53" s="1" t="s">
        <v>33</v>
      </c>
      <c r="K53" s="2">
        <v>131.69999999999999</v>
      </c>
      <c r="M53" s="2">
        <v>2017</v>
      </c>
      <c r="N53" s="1" t="s">
        <v>37</v>
      </c>
    </row>
    <row r="54" spans="1:14" ht="26.5" thickBot="1" x14ac:dyDescent="0.4">
      <c r="A54">
        <v>157</v>
      </c>
      <c r="B54" s="1" t="s">
        <v>30</v>
      </c>
      <c r="C54" s="2">
        <v>132.1</v>
      </c>
      <c r="F54" s="1" t="s">
        <v>34</v>
      </c>
      <c r="G54" s="2">
        <v>132.1</v>
      </c>
      <c r="J54" s="1" t="s">
        <v>33</v>
      </c>
      <c r="K54" s="2">
        <v>132.1</v>
      </c>
      <c r="M54" s="2">
        <v>2017</v>
      </c>
      <c r="N54" s="1" t="s">
        <v>38</v>
      </c>
    </row>
    <row r="55" spans="1:14" ht="26.5" thickBot="1" x14ac:dyDescent="0.4">
      <c r="A55">
        <v>160</v>
      </c>
      <c r="B55" s="1" t="s">
        <v>30</v>
      </c>
      <c r="C55" s="2">
        <v>131.4</v>
      </c>
      <c r="F55" s="1" t="s">
        <v>34</v>
      </c>
      <c r="G55" s="2">
        <v>131.4</v>
      </c>
      <c r="J55" s="1" t="s">
        <v>33</v>
      </c>
      <c r="K55" s="2">
        <v>131.4</v>
      </c>
      <c r="M55" s="2">
        <v>2017</v>
      </c>
      <c r="N55" s="1" t="s">
        <v>39</v>
      </c>
    </row>
    <row r="56" spans="1:14" ht="26.5" thickBot="1" x14ac:dyDescent="0.4">
      <c r="A56">
        <v>163</v>
      </c>
      <c r="B56" s="1" t="s">
        <v>30</v>
      </c>
      <c r="C56" s="2">
        <v>132.6</v>
      </c>
      <c r="F56" s="1" t="s">
        <v>34</v>
      </c>
      <c r="G56" s="2">
        <v>132.6</v>
      </c>
      <c r="J56" s="1" t="s">
        <v>33</v>
      </c>
      <c r="K56" s="2">
        <v>132.6</v>
      </c>
      <c r="M56" s="2">
        <v>2017</v>
      </c>
      <c r="N56" s="1" t="s">
        <v>40</v>
      </c>
    </row>
    <row r="57" spans="1:14" ht="26.5" thickBot="1" x14ac:dyDescent="0.4">
      <c r="A57">
        <v>166</v>
      </c>
      <c r="B57" s="1" t="s">
        <v>30</v>
      </c>
      <c r="C57" s="2">
        <v>134.4</v>
      </c>
      <c r="F57" s="1" t="s">
        <v>34</v>
      </c>
      <c r="G57" s="2">
        <v>134.4</v>
      </c>
      <c r="J57" s="1" t="s">
        <v>33</v>
      </c>
      <c r="K57" s="2">
        <v>134.4</v>
      </c>
      <c r="M57" s="2">
        <v>2017</v>
      </c>
      <c r="N57" s="1" t="s">
        <v>41</v>
      </c>
    </row>
    <row r="58" spans="1:14" ht="26.5" thickBot="1" x14ac:dyDescent="0.4">
      <c r="A58">
        <v>169</v>
      </c>
      <c r="B58" s="1" t="s">
        <v>30</v>
      </c>
      <c r="C58" s="2">
        <v>135.69999999999999</v>
      </c>
      <c r="F58" s="1" t="s">
        <v>34</v>
      </c>
      <c r="G58" s="2">
        <v>135.69999999999999</v>
      </c>
      <c r="J58" s="1" t="s">
        <v>33</v>
      </c>
      <c r="K58" s="2">
        <v>135.69999999999999</v>
      </c>
      <c r="M58" s="2">
        <v>2017</v>
      </c>
      <c r="N58" s="1" t="s">
        <v>42</v>
      </c>
    </row>
    <row r="59" spans="1:14" ht="26.5" thickBot="1" x14ac:dyDescent="0.4">
      <c r="A59">
        <v>172</v>
      </c>
      <c r="B59" s="1" t="s">
        <v>30</v>
      </c>
      <c r="C59" s="2">
        <v>137.30000000000001</v>
      </c>
      <c r="F59" s="1" t="s">
        <v>34</v>
      </c>
      <c r="G59" s="2">
        <v>137.30000000000001</v>
      </c>
      <c r="J59" s="1" t="s">
        <v>33</v>
      </c>
      <c r="K59" s="2">
        <v>137.30000000000001</v>
      </c>
      <c r="M59" s="2">
        <v>2017</v>
      </c>
      <c r="N59" s="1" t="s">
        <v>43</v>
      </c>
    </row>
    <row r="60" spans="1:14" ht="26.5" thickBot="1" x14ac:dyDescent="0.4">
      <c r="A60">
        <v>175</v>
      </c>
      <c r="B60" s="1" t="s">
        <v>30</v>
      </c>
      <c r="C60" s="2">
        <v>138.6</v>
      </c>
      <c r="F60" s="1" t="s">
        <v>34</v>
      </c>
      <c r="G60" s="2">
        <v>138.6</v>
      </c>
      <c r="J60" s="1" t="s">
        <v>33</v>
      </c>
      <c r="K60" s="2">
        <v>138.6</v>
      </c>
      <c r="M60" s="2">
        <v>2017</v>
      </c>
      <c r="N60" s="1" t="s">
        <v>44</v>
      </c>
    </row>
    <row r="61" spans="1:14" ht="26.5" thickBot="1" x14ac:dyDescent="0.4">
      <c r="A61">
        <v>178</v>
      </c>
      <c r="B61" s="1" t="s">
        <v>30</v>
      </c>
      <c r="C61" s="2">
        <v>139.1</v>
      </c>
      <c r="F61" s="1" t="s">
        <v>34</v>
      </c>
      <c r="G61" s="2">
        <v>139.1</v>
      </c>
      <c r="J61" s="1" t="s">
        <v>33</v>
      </c>
      <c r="K61" s="2">
        <v>139.1</v>
      </c>
      <c r="M61" s="2">
        <v>2017</v>
      </c>
      <c r="N61" s="1" t="s">
        <v>45</v>
      </c>
    </row>
    <row r="62" spans="1:14" ht="26.5" thickBot="1" x14ac:dyDescent="0.4">
      <c r="A62">
        <v>181</v>
      </c>
      <c r="B62" s="1" t="s">
        <v>30</v>
      </c>
      <c r="C62" s="2">
        <v>140.4</v>
      </c>
      <c r="F62" s="1" t="s">
        <v>34</v>
      </c>
      <c r="G62" s="2">
        <v>140.4</v>
      </c>
      <c r="J62" s="1" t="s">
        <v>33</v>
      </c>
      <c r="K62" s="2">
        <v>140.4</v>
      </c>
      <c r="M62" s="2">
        <v>2018</v>
      </c>
      <c r="N62" s="1" t="s">
        <v>31</v>
      </c>
    </row>
    <row r="63" spans="1:14" ht="26.5" thickBot="1" x14ac:dyDescent="0.4">
      <c r="A63">
        <v>184</v>
      </c>
      <c r="B63" s="1" t="s">
        <v>30</v>
      </c>
      <c r="C63" s="2">
        <v>141.30000000000001</v>
      </c>
      <c r="F63" s="1" t="s">
        <v>34</v>
      </c>
      <c r="G63" s="2">
        <v>141.30000000000001</v>
      </c>
      <c r="J63" s="1" t="s">
        <v>33</v>
      </c>
      <c r="K63" s="2">
        <v>141.30000000000001</v>
      </c>
      <c r="M63" s="2">
        <v>2018</v>
      </c>
      <c r="N63" s="1" t="s">
        <v>35</v>
      </c>
    </row>
    <row r="64" spans="1:14" ht="26.5" thickBot="1" x14ac:dyDescent="0.4">
      <c r="A64">
        <v>187</v>
      </c>
      <c r="B64" s="1" t="s">
        <v>30</v>
      </c>
      <c r="C64" s="2">
        <v>142</v>
      </c>
      <c r="F64" s="1" t="s">
        <v>34</v>
      </c>
      <c r="G64" s="2">
        <v>142</v>
      </c>
      <c r="J64" s="1" t="s">
        <v>33</v>
      </c>
      <c r="K64" s="2">
        <v>142</v>
      </c>
      <c r="M64" s="2">
        <v>2018</v>
      </c>
      <c r="N64" s="1" t="s">
        <v>36</v>
      </c>
    </row>
    <row r="65" spans="1:14" ht="26.5" thickBot="1" x14ac:dyDescent="0.4">
      <c r="A65">
        <v>190</v>
      </c>
      <c r="B65" s="1" t="s">
        <v>30</v>
      </c>
      <c r="C65" s="2">
        <v>142.9</v>
      </c>
      <c r="F65" s="1" t="s">
        <v>34</v>
      </c>
      <c r="G65" s="2">
        <v>142.9</v>
      </c>
      <c r="J65" s="1" t="s">
        <v>33</v>
      </c>
      <c r="K65" s="2">
        <v>142.9</v>
      </c>
      <c r="M65" s="2">
        <v>2018</v>
      </c>
      <c r="N65" s="1" t="s">
        <v>37</v>
      </c>
    </row>
    <row r="66" spans="1:14" ht="26.5" thickBot="1" x14ac:dyDescent="0.4">
      <c r="A66">
        <v>193</v>
      </c>
      <c r="B66" s="1" t="s">
        <v>30</v>
      </c>
      <c r="C66" s="2">
        <v>143.19999999999999</v>
      </c>
      <c r="F66" s="1" t="s">
        <v>34</v>
      </c>
      <c r="G66" s="2">
        <v>143.19999999999999</v>
      </c>
      <c r="J66" s="1" t="s">
        <v>33</v>
      </c>
      <c r="K66" s="2">
        <v>143.19999999999999</v>
      </c>
      <c r="M66" s="2">
        <v>2018</v>
      </c>
      <c r="N66" s="1" t="s">
        <v>38</v>
      </c>
    </row>
    <row r="67" spans="1:14" ht="26.5" thickBot="1" x14ac:dyDescent="0.4">
      <c r="A67">
        <v>196</v>
      </c>
      <c r="B67" s="1" t="s">
        <v>30</v>
      </c>
      <c r="C67" s="2">
        <v>142.5</v>
      </c>
      <c r="F67" s="1" t="s">
        <v>34</v>
      </c>
      <c r="G67" s="2">
        <v>142.5</v>
      </c>
      <c r="J67" s="1" t="s">
        <v>33</v>
      </c>
      <c r="K67" s="2">
        <v>142.5</v>
      </c>
      <c r="M67" s="2">
        <v>2018</v>
      </c>
      <c r="N67" s="1" t="s">
        <v>39</v>
      </c>
    </row>
    <row r="68" spans="1:14" ht="26.5" thickBot="1" x14ac:dyDescent="0.4">
      <c r="A68">
        <v>199</v>
      </c>
      <c r="B68" s="1" t="s">
        <v>30</v>
      </c>
      <c r="C68" s="2">
        <v>143.6</v>
      </c>
      <c r="F68" s="1" t="s">
        <v>34</v>
      </c>
      <c r="G68" s="2">
        <v>143.6</v>
      </c>
      <c r="J68" s="1" t="s">
        <v>33</v>
      </c>
      <c r="K68" s="2">
        <v>143.6</v>
      </c>
      <c r="M68" s="2">
        <v>2018</v>
      </c>
      <c r="N68" s="1" t="s">
        <v>40</v>
      </c>
    </row>
    <row r="69" spans="1:14" ht="26.5" thickBot="1" x14ac:dyDescent="0.4">
      <c r="A69">
        <v>202</v>
      </c>
      <c r="B69" s="1" t="s">
        <v>30</v>
      </c>
      <c r="C69" s="2">
        <v>144.6</v>
      </c>
      <c r="F69" s="1" t="s">
        <v>34</v>
      </c>
      <c r="G69" s="2">
        <v>144.6</v>
      </c>
      <c r="J69" s="1" t="s">
        <v>33</v>
      </c>
      <c r="K69" s="2">
        <v>144.6</v>
      </c>
      <c r="M69" s="2">
        <v>2018</v>
      </c>
      <c r="N69" s="1" t="s">
        <v>41</v>
      </c>
    </row>
    <row r="70" spans="1:14" ht="26.5" thickBot="1" x14ac:dyDescent="0.4">
      <c r="A70">
        <v>205</v>
      </c>
      <c r="B70" s="1" t="s">
        <v>30</v>
      </c>
      <c r="C70" s="2">
        <v>145.30000000000001</v>
      </c>
      <c r="F70" s="1" t="s">
        <v>34</v>
      </c>
      <c r="G70" s="2">
        <v>145.30000000000001</v>
      </c>
      <c r="J70" s="1" t="s">
        <v>33</v>
      </c>
      <c r="K70" s="2">
        <v>145.30000000000001</v>
      </c>
      <c r="M70" s="2">
        <v>2018</v>
      </c>
      <c r="N70" s="1" t="s">
        <v>42</v>
      </c>
    </row>
    <row r="71" spans="1:14" ht="26.5" thickBot="1" x14ac:dyDescent="0.4">
      <c r="A71">
        <v>208</v>
      </c>
      <c r="B71" s="1" t="s">
        <v>30</v>
      </c>
      <c r="C71" s="2">
        <v>146.30000000000001</v>
      </c>
      <c r="F71" s="1" t="s">
        <v>34</v>
      </c>
      <c r="G71" s="2">
        <v>146.9</v>
      </c>
      <c r="J71" s="1" t="s">
        <v>33</v>
      </c>
      <c r="K71" s="2">
        <v>146.30000000000001</v>
      </c>
      <c r="M71" s="2">
        <v>2018</v>
      </c>
      <c r="N71" s="1" t="s">
        <v>43</v>
      </c>
    </row>
    <row r="72" spans="1:14" ht="26.5" thickBot="1" x14ac:dyDescent="0.4">
      <c r="A72">
        <v>211</v>
      </c>
      <c r="B72" s="1" t="s">
        <v>30</v>
      </c>
      <c r="C72" s="2">
        <v>146.9</v>
      </c>
      <c r="F72" s="1" t="s">
        <v>34</v>
      </c>
      <c r="G72" s="2">
        <v>146.9</v>
      </c>
      <c r="J72" s="1" t="s">
        <v>33</v>
      </c>
      <c r="K72" s="2">
        <v>146.9</v>
      </c>
      <c r="M72" s="2">
        <v>2018</v>
      </c>
      <c r="N72" s="1" t="s">
        <v>44</v>
      </c>
    </row>
    <row r="73" spans="1:14" ht="26.5" thickBot="1" x14ac:dyDescent="0.4">
      <c r="A73">
        <v>214</v>
      </c>
      <c r="B73" s="1" t="s">
        <v>30</v>
      </c>
      <c r="C73" s="2">
        <v>146.5</v>
      </c>
      <c r="F73" s="1" t="s">
        <v>34</v>
      </c>
      <c r="G73" s="2">
        <v>146.5</v>
      </c>
      <c r="J73" s="1" t="s">
        <v>33</v>
      </c>
      <c r="K73" s="2">
        <v>146.5</v>
      </c>
      <c r="M73" s="2">
        <v>2018</v>
      </c>
      <c r="N73" s="1" t="s">
        <v>45</v>
      </c>
    </row>
    <row r="74" spans="1:14" ht="26.5" thickBot="1" x14ac:dyDescent="0.4">
      <c r="A74">
        <v>217</v>
      </c>
      <c r="B74" s="1" t="s">
        <v>30</v>
      </c>
      <c r="C74" s="2">
        <v>147.69999999999999</v>
      </c>
      <c r="F74" s="1" t="s">
        <v>34</v>
      </c>
      <c r="G74" s="2">
        <v>147.69999999999999</v>
      </c>
      <c r="J74" s="1" t="s">
        <v>33</v>
      </c>
      <c r="K74" s="2">
        <v>147.69999999999999</v>
      </c>
      <c r="M74" s="2">
        <v>2019</v>
      </c>
      <c r="N74" s="1" t="s">
        <v>31</v>
      </c>
    </row>
    <row r="75" spans="1:14" ht="26.5" thickBot="1" x14ac:dyDescent="0.4">
      <c r="A75">
        <v>220</v>
      </c>
      <c r="B75" s="1" t="s">
        <v>30</v>
      </c>
      <c r="C75" s="2">
        <v>148.5</v>
      </c>
      <c r="F75" s="1" t="s">
        <v>34</v>
      </c>
      <c r="G75" s="2">
        <v>148.5</v>
      </c>
      <c r="J75" s="1" t="s">
        <v>33</v>
      </c>
      <c r="K75" s="2">
        <v>148.5</v>
      </c>
      <c r="M75" s="2">
        <v>2019</v>
      </c>
      <c r="N75" s="1" t="s">
        <v>35</v>
      </c>
    </row>
    <row r="76" spans="1:14" ht="26.5" thickBot="1" x14ac:dyDescent="0.4">
      <c r="A76">
        <v>223</v>
      </c>
      <c r="B76" s="1" t="s">
        <v>30</v>
      </c>
      <c r="C76" s="2">
        <v>149</v>
      </c>
      <c r="F76" s="1" t="s">
        <v>34</v>
      </c>
      <c r="G76" s="2">
        <v>149</v>
      </c>
      <c r="J76" s="1" t="s">
        <v>33</v>
      </c>
      <c r="K76" s="2">
        <v>149</v>
      </c>
      <c r="M76" s="2">
        <v>2019</v>
      </c>
      <c r="N76" s="1" t="s">
        <v>36</v>
      </c>
    </row>
    <row r="77" spans="1:14" ht="26.5" thickBot="1" x14ac:dyDescent="0.4">
      <c r="A77">
        <v>226</v>
      </c>
      <c r="B77" s="1" t="s">
        <v>30</v>
      </c>
      <c r="C77" s="2">
        <v>150.1</v>
      </c>
      <c r="F77" s="1" t="s">
        <v>34</v>
      </c>
      <c r="G77" s="2">
        <v>150.1</v>
      </c>
      <c r="J77" s="1" t="s">
        <v>33</v>
      </c>
      <c r="K77" s="2">
        <v>150.1</v>
      </c>
      <c r="M77" s="2">
        <v>2019</v>
      </c>
      <c r="N77" s="1" t="s">
        <v>38</v>
      </c>
    </row>
    <row r="78" spans="1:14" ht="26.5" thickBot="1" x14ac:dyDescent="0.4">
      <c r="A78">
        <v>229</v>
      </c>
      <c r="B78" s="1" t="s">
        <v>30</v>
      </c>
      <c r="C78" s="2">
        <v>149.4</v>
      </c>
      <c r="F78" s="1" t="s">
        <v>34</v>
      </c>
      <c r="G78" s="2">
        <v>149.4</v>
      </c>
      <c r="J78" s="1" t="s">
        <v>33</v>
      </c>
      <c r="K78" s="2">
        <v>149.4</v>
      </c>
      <c r="M78" s="2">
        <v>2019</v>
      </c>
      <c r="N78" s="1" t="s">
        <v>39</v>
      </c>
    </row>
    <row r="79" spans="1:14" ht="26.5" thickBot="1" x14ac:dyDescent="0.4">
      <c r="A79">
        <v>232</v>
      </c>
      <c r="B79" s="1" t="s">
        <v>30</v>
      </c>
      <c r="C79" s="2">
        <v>150.6</v>
      </c>
      <c r="F79" s="1" t="s">
        <v>34</v>
      </c>
      <c r="G79" s="2">
        <v>150.6</v>
      </c>
      <c r="J79" s="1" t="s">
        <v>33</v>
      </c>
      <c r="K79" s="2">
        <v>150.6</v>
      </c>
      <c r="M79" s="2">
        <v>2019</v>
      </c>
      <c r="N79" s="1" t="s">
        <v>40</v>
      </c>
    </row>
    <row r="80" spans="1:14" ht="26.5" thickBot="1" x14ac:dyDescent="0.4">
      <c r="A80">
        <v>235</v>
      </c>
      <c r="B80" s="1" t="s">
        <v>30</v>
      </c>
      <c r="C80" s="2">
        <v>151.6</v>
      </c>
      <c r="F80" s="1" t="s">
        <v>34</v>
      </c>
      <c r="G80" s="2">
        <v>151.6</v>
      </c>
      <c r="J80" s="1" t="s">
        <v>33</v>
      </c>
      <c r="K80" s="2">
        <v>151.6</v>
      </c>
      <c r="M80" s="2">
        <v>2019</v>
      </c>
      <c r="N80" s="1" t="s">
        <v>41</v>
      </c>
    </row>
    <row r="81" spans="1:14" ht="26.5" thickBot="1" x14ac:dyDescent="0.4">
      <c r="A81">
        <v>238</v>
      </c>
      <c r="B81" s="1" t="s">
        <v>30</v>
      </c>
      <c r="C81" s="2">
        <v>152.19999999999999</v>
      </c>
      <c r="F81" s="1" t="s">
        <v>34</v>
      </c>
      <c r="G81" s="2">
        <v>152.19999999999999</v>
      </c>
      <c r="J81" s="1" t="s">
        <v>33</v>
      </c>
      <c r="K81" s="2">
        <v>152.19999999999999</v>
      </c>
      <c r="M81" s="2">
        <v>2019</v>
      </c>
      <c r="N81" s="1" t="s">
        <v>42</v>
      </c>
    </row>
    <row r="82" spans="1:14" ht="26.5" thickBot="1" x14ac:dyDescent="0.4">
      <c r="A82">
        <v>241</v>
      </c>
      <c r="B82" s="1" t="s">
        <v>30</v>
      </c>
      <c r="C82" s="2">
        <v>153</v>
      </c>
      <c r="F82" s="1" t="s">
        <v>34</v>
      </c>
      <c r="G82" s="2">
        <v>153</v>
      </c>
      <c r="J82" s="1" t="s">
        <v>33</v>
      </c>
      <c r="K82" s="2">
        <v>153</v>
      </c>
      <c r="M82" s="2">
        <v>2019</v>
      </c>
      <c r="N82" s="1" t="s">
        <v>43</v>
      </c>
    </row>
    <row r="83" spans="1:14" ht="26.5" thickBot="1" x14ac:dyDescent="0.4">
      <c r="A83">
        <v>244</v>
      </c>
      <c r="B83" s="1" t="s">
        <v>30</v>
      </c>
      <c r="C83" s="2">
        <v>153.5</v>
      </c>
      <c r="F83" s="1" t="s">
        <v>34</v>
      </c>
      <c r="G83" s="2">
        <v>153.5</v>
      </c>
      <c r="J83" s="1" t="s">
        <v>33</v>
      </c>
      <c r="K83" s="2">
        <v>153.5</v>
      </c>
      <c r="M83" s="2">
        <v>2019</v>
      </c>
      <c r="N83" s="1" t="s">
        <v>44</v>
      </c>
    </row>
    <row r="84" spans="1:14" ht="26.5" thickBot="1" x14ac:dyDescent="0.4">
      <c r="A84">
        <v>247</v>
      </c>
      <c r="B84" s="1" t="s">
        <v>30</v>
      </c>
      <c r="C84" s="2">
        <v>152.80000000000001</v>
      </c>
      <c r="F84" s="1" t="s">
        <v>34</v>
      </c>
      <c r="G84" s="2">
        <v>152.80000000000001</v>
      </c>
      <c r="J84" s="1" t="s">
        <v>33</v>
      </c>
      <c r="K84" s="2">
        <v>152.80000000000001</v>
      </c>
      <c r="M84" s="2">
        <v>2019</v>
      </c>
      <c r="N84" s="1" t="s">
        <v>45</v>
      </c>
    </row>
    <row r="85" spans="1:14" ht="26.5" thickBot="1" x14ac:dyDescent="0.4">
      <c r="A85">
        <v>250</v>
      </c>
      <c r="B85" s="1" t="s">
        <v>30</v>
      </c>
      <c r="C85" s="2">
        <v>153.9</v>
      </c>
      <c r="F85" s="1" t="s">
        <v>34</v>
      </c>
      <c r="G85" s="2">
        <v>153.9</v>
      </c>
      <c r="J85" s="1" t="s">
        <v>33</v>
      </c>
      <c r="K85" s="2">
        <v>153.9</v>
      </c>
      <c r="M85" s="2">
        <v>2020</v>
      </c>
      <c r="N85" s="1" t="s">
        <v>31</v>
      </c>
    </row>
    <row r="86" spans="1:14" ht="26.5" thickBot="1" x14ac:dyDescent="0.4">
      <c r="A86">
        <v>253</v>
      </c>
      <c r="B86" s="1" t="s">
        <v>30</v>
      </c>
      <c r="C86" s="2">
        <v>154.80000000000001</v>
      </c>
      <c r="F86" s="1" t="s">
        <v>34</v>
      </c>
      <c r="G86" s="2">
        <v>154.80000000000001</v>
      </c>
      <c r="J86" s="1" t="s">
        <v>33</v>
      </c>
      <c r="K86" s="2">
        <v>154.80000000000001</v>
      </c>
      <c r="M86" s="2">
        <v>2020</v>
      </c>
      <c r="N86" s="1" t="s">
        <v>35</v>
      </c>
    </row>
    <row r="87" spans="1:14" ht="26.5" thickBot="1" x14ac:dyDescent="0.4">
      <c r="A87">
        <v>256</v>
      </c>
      <c r="B87" s="1" t="s">
        <v>30</v>
      </c>
      <c r="C87" s="2">
        <v>154.5</v>
      </c>
      <c r="F87" s="1" t="s">
        <v>34</v>
      </c>
      <c r="G87" s="2">
        <v>154.5</v>
      </c>
      <c r="J87" s="1" t="s">
        <v>33</v>
      </c>
      <c r="K87" s="2">
        <v>154.5</v>
      </c>
      <c r="M87" s="2">
        <v>2020</v>
      </c>
      <c r="N87" s="1" t="s">
        <v>36</v>
      </c>
    </row>
    <row r="88" spans="1:14" ht="26.5" thickBot="1" x14ac:dyDescent="0.4">
      <c r="A88">
        <v>259</v>
      </c>
      <c r="B88" s="1" t="s">
        <v>30</v>
      </c>
      <c r="C88" s="2">
        <v>155.6</v>
      </c>
      <c r="F88" s="1" t="s">
        <v>34</v>
      </c>
      <c r="G88" s="2">
        <v>155.6</v>
      </c>
      <c r="J88" s="1" t="s">
        <v>33</v>
      </c>
      <c r="K88" s="2">
        <v>155.6</v>
      </c>
      <c r="M88" s="2">
        <v>2020</v>
      </c>
      <c r="N88" s="1" t="s">
        <v>37</v>
      </c>
    </row>
    <row r="89" spans="1:14" ht="26.5" thickBot="1" x14ac:dyDescent="0.4">
      <c r="A89">
        <v>262</v>
      </c>
      <c r="B89" s="1" t="s">
        <v>30</v>
      </c>
      <c r="C89" s="1">
        <v>155.15</v>
      </c>
      <c r="F89" s="1" t="s">
        <v>34</v>
      </c>
      <c r="G89" s="1">
        <v>155.15</v>
      </c>
      <c r="J89" s="1" t="s">
        <v>33</v>
      </c>
      <c r="K89" s="1">
        <f>AVERAGE(K88,K90)</f>
        <v>155.14999999999998</v>
      </c>
      <c r="M89" s="2">
        <v>2020</v>
      </c>
      <c r="N89" s="1" t="s">
        <v>38</v>
      </c>
    </row>
    <row r="90" spans="1:14" ht="26.5" thickBot="1" x14ac:dyDescent="0.4">
      <c r="A90">
        <v>265</v>
      </c>
      <c r="B90" s="1" t="s">
        <v>30</v>
      </c>
      <c r="C90" s="2">
        <v>154.69999999999999</v>
      </c>
      <c r="F90" s="1" t="s">
        <v>34</v>
      </c>
      <c r="G90" s="2">
        <v>154.69999999999999</v>
      </c>
      <c r="J90" s="1" t="s">
        <v>33</v>
      </c>
      <c r="K90" s="2">
        <v>154.69999999999999</v>
      </c>
      <c r="M90" s="2">
        <v>2020</v>
      </c>
      <c r="N90" s="1" t="s">
        <v>39</v>
      </c>
    </row>
    <row r="91" spans="1:14" ht="26.5" thickBot="1" x14ac:dyDescent="0.4">
      <c r="A91">
        <v>268</v>
      </c>
      <c r="B91" s="1" t="s">
        <v>30</v>
      </c>
      <c r="C91" s="2">
        <v>154.69999999999999</v>
      </c>
      <c r="F91" s="1" t="s">
        <v>34</v>
      </c>
      <c r="G91" s="2">
        <v>154.69999999999999</v>
      </c>
      <c r="J91" s="1" t="s">
        <v>33</v>
      </c>
      <c r="K91" s="2">
        <v>154.69999999999999</v>
      </c>
      <c r="M91" s="2">
        <v>2020</v>
      </c>
      <c r="N91" s="1" t="s">
        <v>40</v>
      </c>
    </row>
    <row r="92" spans="1:14" ht="26.5" thickBot="1" x14ac:dyDescent="0.4">
      <c r="A92">
        <v>271</v>
      </c>
      <c r="B92" s="1" t="s">
        <v>30</v>
      </c>
      <c r="C92" s="2">
        <v>155.5</v>
      </c>
      <c r="F92" s="1" t="s">
        <v>34</v>
      </c>
      <c r="G92" s="2">
        <v>155.5</v>
      </c>
      <c r="J92" s="1" t="s">
        <v>33</v>
      </c>
      <c r="K92" s="2">
        <v>155.5</v>
      </c>
      <c r="M92" s="2">
        <v>2020</v>
      </c>
      <c r="N92" s="1" t="s">
        <v>41</v>
      </c>
    </row>
    <row r="93" spans="1:14" ht="26.5" thickBot="1" x14ac:dyDescent="0.4">
      <c r="A93">
        <v>274</v>
      </c>
      <c r="B93" s="1" t="s">
        <v>30</v>
      </c>
      <c r="C93" s="2">
        <v>156.30000000000001</v>
      </c>
      <c r="F93" s="1" t="s">
        <v>34</v>
      </c>
      <c r="G93" s="2">
        <v>156.30000000000001</v>
      </c>
      <c r="J93" s="1" t="s">
        <v>33</v>
      </c>
      <c r="K93" s="2">
        <v>156.30000000000001</v>
      </c>
      <c r="M93" s="2">
        <v>2020</v>
      </c>
      <c r="N93" s="1" t="s">
        <v>42</v>
      </c>
    </row>
    <row r="94" spans="1:14" ht="26.5" thickBot="1" x14ac:dyDescent="0.4">
      <c r="A94">
        <v>277</v>
      </c>
      <c r="B94" s="1" t="s">
        <v>30</v>
      </c>
      <c r="C94" s="2">
        <v>156.5</v>
      </c>
      <c r="F94" s="1" t="s">
        <v>34</v>
      </c>
      <c r="G94" s="2">
        <v>156.5</v>
      </c>
      <c r="J94" s="1" t="s">
        <v>33</v>
      </c>
      <c r="K94" s="2">
        <v>156.5</v>
      </c>
      <c r="M94" s="2">
        <v>2020</v>
      </c>
      <c r="N94" s="1" t="s">
        <v>43</v>
      </c>
    </row>
    <row r="95" spans="1:14" ht="26.5" thickBot="1" x14ac:dyDescent="0.4">
      <c r="A95">
        <v>280</v>
      </c>
      <c r="B95" s="1" t="s">
        <v>30</v>
      </c>
      <c r="C95" s="2">
        <v>158</v>
      </c>
      <c r="F95" s="1" t="s">
        <v>34</v>
      </c>
      <c r="G95" s="2">
        <v>158</v>
      </c>
      <c r="J95" s="1" t="s">
        <v>33</v>
      </c>
      <c r="K95" s="2">
        <v>158</v>
      </c>
      <c r="M95" s="2">
        <v>2020</v>
      </c>
      <c r="N95" s="1" t="s">
        <v>44</v>
      </c>
    </row>
    <row r="96" spans="1:14" ht="26.5" thickBot="1" x14ac:dyDescent="0.4">
      <c r="A96">
        <v>283</v>
      </c>
      <c r="B96" s="1" t="s">
        <v>30</v>
      </c>
      <c r="C96" s="2">
        <v>158.4</v>
      </c>
      <c r="F96" s="1" t="s">
        <v>34</v>
      </c>
      <c r="G96" s="2">
        <v>158.4</v>
      </c>
      <c r="J96" s="1" t="s">
        <v>33</v>
      </c>
      <c r="K96" s="2">
        <v>158.4</v>
      </c>
      <c r="M96" s="2">
        <v>2020</v>
      </c>
      <c r="N96" s="1" t="s">
        <v>45</v>
      </c>
    </row>
    <row r="97" spans="1:14" ht="26.5" thickBot="1" x14ac:dyDescent="0.4">
      <c r="A97">
        <v>286</v>
      </c>
      <c r="B97" s="1" t="s">
        <v>30</v>
      </c>
      <c r="C97" s="2">
        <v>157.69999999999999</v>
      </c>
      <c r="F97" s="1" t="s">
        <v>34</v>
      </c>
      <c r="G97" s="2">
        <v>157.69999999999999</v>
      </c>
      <c r="J97" s="1" t="s">
        <v>33</v>
      </c>
      <c r="K97" s="2">
        <v>157.69999999999999</v>
      </c>
      <c r="M97" s="2">
        <v>2021</v>
      </c>
      <c r="N97" s="1" t="s">
        <v>31</v>
      </c>
    </row>
    <row r="98" spans="1:14" ht="26.5" thickBot="1" x14ac:dyDescent="0.4">
      <c r="A98">
        <v>289</v>
      </c>
      <c r="B98" s="1" t="s">
        <v>30</v>
      </c>
      <c r="C98" s="2">
        <v>159.80000000000001</v>
      </c>
      <c r="F98" s="1" t="s">
        <v>34</v>
      </c>
      <c r="G98" s="2">
        <v>159.80000000000001</v>
      </c>
      <c r="J98" s="1" t="s">
        <v>33</v>
      </c>
      <c r="K98" s="2">
        <v>159.80000000000001</v>
      </c>
      <c r="M98" s="2">
        <v>2021</v>
      </c>
      <c r="N98" s="1" t="s">
        <v>35</v>
      </c>
    </row>
    <row r="99" spans="1:14" ht="26.5" thickBot="1" x14ac:dyDescent="0.4">
      <c r="A99">
        <v>292</v>
      </c>
      <c r="B99" s="1" t="s">
        <v>30</v>
      </c>
      <c r="C99" s="2">
        <v>159.9</v>
      </c>
      <c r="F99" s="1" t="s">
        <v>34</v>
      </c>
      <c r="G99" s="2">
        <v>159.9</v>
      </c>
      <c r="J99" s="1" t="s">
        <v>33</v>
      </c>
      <c r="K99" s="2">
        <v>159.9</v>
      </c>
      <c r="M99" s="2">
        <v>2021</v>
      </c>
      <c r="N99" s="1" t="s">
        <v>36</v>
      </c>
    </row>
    <row r="100" spans="1:14" ht="26.5" thickBot="1" x14ac:dyDescent="0.4">
      <c r="A100">
        <v>295</v>
      </c>
      <c r="B100" s="1" t="s">
        <v>30</v>
      </c>
      <c r="C100" s="2">
        <v>161.4</v>
      </c>
      <c r="F100" s="1" t="s">
        <v>34</v>
      </c>
      <c r="G100" s="2">
        <v>161.4</v>
      </c>
      <c r="J100" s="1" t="s">
        <v>33</v>
      </c>
      <c r="K100" s="2">
        <v>161.4</v>
      </c>
      <c r="M100" s="2">
        <v>2021</v>
      </c>
      <c r="N100" s="1" t="s">
        <v>37</v>
      </c>
    </row>
    <row r="101" spans="1:14" ht="26.5" thickBot="1" x14ac:dyDescent="0.4">
      <c r="A101">
        <v>298</v>
      </c>
      <c r="B101" s="1" t="s">
        <v>30</v>
      </c>
      <c r="C101" s="2">
        <v>161.6</v>
      </c>
      <c r="F101" s="1" t="s">
        <v>34</v>
      </c>
      <c r="G101" s="2">
        <v>161.6</v>
      </c>
      <c r="J101" s="1" t="s">
        <v>33</v>
      </c>
      <c r="K101" s="2">
        <v>161.6</v>
      </c>
      <c r="M101" s="2">
        <v>2021</v>
      </c>
      <c r="N101" s="1" t="s">
        <v>38</v>
      </c>
    </row>
    <row r="102" spans="1:14" ht="26.5" thickBot="1" x14ac:dyDescent="0.4">
      <c r="A102">
        <v>301</v>
      </c>
      <c r="B102" s="1" t="s">
        <v>30</v>
      </c>
      <c r="C102" s="2">
        <v>160.5</v>
      </c>
      <c r="F102" s="1" t="s">
        <v>34</v>
      </c>
      <c r="G102" s="2">
        <v>160.5</v>
      </c>
      <c r="J102" s="1" t="s">
        <v>33</v>
      </c>
      <c r="K102" s="2">
        <v>160.5</v>
      </c>
      <c r="M102" s="2">
        <v>2021</v>
      </c>
      <c r="N102" s="1" t="s">
        <v>39</v>
      </c>
    </row>
    <row r="103" spans="1:14" ht="26.5" thickBot="1" x14ac:dyDescent="0.4">
      <c r="A103">
        <v>304</v>
      </c>
      <c r="B103" s="1" t="s">
        <v>30</v>
      </c>
      <c r="C103" s="2">
        <v>161.5</v>
      </c>
      <c r="F103" s="1" t="s">
        <v>34</v>
      </c>
      <c r="G103" s="2">
        <v>161.5</v>
      </c>
      <c r="J103" s="1" t="s">
        <v>33</v>
      </c>
      <c r="K103" s="2">
        <v>161.5</v>
      </c>
      <c r="M103" s="2">
        <v>2021</v>
      </c>
      <c r="N103" s="1" t="s">
        <v>40</v>
      </c>
    </row>
    <row r="104" spans="1:14" ht="26.5" thickBot="1" x14ac:dyDescent="0.4">
      <c r="A104">
        <v>307</v>
      </c>
      <c r="B104" s="1" t="s">
        <v>30</v>
      </c>
      <c r="C104" s="2">
        <v>162.1</v>
      </c>
      <c r="F104" s="1" t="s">
        <v>34</v>
      </c>
      <c r="G104" s="2">
        <v>162.1</v>
      </c>
      <c r="J104" s="1" t="s">
        <v>33</v>
      </c>
      <c r="K104" s="2">
        <v>162.1</v>
      </c>
      <c r="M104" s="2">
        <v>2021</v>
      </c>
      <c r="N104" s="1" t="s">
        <v>41</v>
      </c>
    </row>
    <row r="105" spans="1:14" ht="26.5" thickBot="1" x14ac:dyDescent="0.4">
      <c r="A105">
        <v>310</v>
      </c>
      <c r="B105" s="1" t="s">
        <v>30</v>
      </c>
      <c r="C105" s="2">
        <v>162.1</v>
      </c>
      <c r="F105" s="1" t="s">
        <v>34</v>
      </c>
      <c r="G105" s="2">
        <v>162.1</v>
      </c>
      <c r="J105" s="1" t="s">
        <v>33</v>
      </c>
      <c r="K105" s="2">
        <v>162.1</v>
      </c>
      <c r="M105" s="2">
        <v>2021</v>
      </c>
      <c r="N105" s="1" t="s">
        <v>42</v>
      </c>
    </row>
    <row r="106" spans="1:14" ht="26.5" thickBot="1" x14ac:dyDescent="0.4">
      <c r="A106">
        <v>313</v>
      </c>
      <c r="B106" s="1" t="s">
        <v>30</v>
      </c>
      <c r="C106" s="2">
        <v>163.6</v>
      </c>
      <c r="F106" s="1" t="s">
        <v>34</v>
      </c>
      <c r="G106" s="2">
        <v>163.6</v>
      </c>
      <c r="J106" s="1" t="s">
        <v>33</v>
      </c>
      <c r="K106" s="2">
        <v>163.6</v>
      </c>
      <c r="M106" s="2">
        <v>2021</v>
      </c>
      <c r="N106" s="1" t="s">
        <v>43</v>
      </c>
    </row>
    <row r="107" spans="1:14" ht="26.5" thickBot="1" x14ac:dyDescent="0.4">
      <c r="A107">
        <v>316</v>
      </c>
      <c r="B107" s="1" t="s">
        <v>30</v>
      </c>
      <c r="C107" s="2">
        <v>164.2</v>
      </c>
      <c r="F107" s="1" t="s">
        <v>34</v>
      </c>
      <c r="G107" s="2">
        <v>164.2</v>
      </c>
      <c r="J107" s="1" t="s">
        <v>33</v>
      </c>
      <c r="K107" s="2">
        <v>164.2</v>
      </c>
      <c r="M107" s="2">
        <v>2021</v>
      </c>
      <c r="N107" s="1" t="s">
        <v>44</v>
      </c>
    </row>
    <row r="108" spans="1:14" ht="26.5" thickBot="1" x14ac:dyDescent="0.4">
      <c r="A108">
        <v>319</v>
      </c>
      <c r="B108" s="1" t="s">
        <v>30</v>
      </c>
      <c r="C108" s="2">
        <v>163.4</v>
      </c>
      <c r="F108" s="1" t="s">
        <v>34</v>
      </c>
      <c r="G108" s="2">
        <v>163.4</v>
      </c>
      <c r="J108" s="1" t="s">
        <v>33</v>
      </c>
      <c r="K108" s="2">
        <v>163.4</v>
      </c>
      <c r="M108" s="2">
        <v>2021</v>
      </c>
      <c r="N108" s="1" t="s">
        <v>45</v>
      </c>
    </row>
    <row r="109" spans="1:14" ht="26.5" thickBot="1" x14ac:dyDescent="0.4">
      <c r="A109">
        <v>322</v>
      </c>
      <c r="B109" s="1" t="s">
        <v>30</v>
      </c>
      <c r="C109" s="2">
        <v>164.5</v>
      </c>
      <c r="F109" s="1" t="s">
        <v>34</v>
      </c>
      <c r="G109" s="2">
        <v>164.5</v>
      </c>
      <c r="J109" s="1" t="s">
        <v>33</v>
      </c>
      <c r="K109" s="2">
        <v>164.5</v>
      </c>
      <c r="M109" s="2">
        <v>2022</v>
      </c>
      <c r="N109" s="1" t="s">
        <v>31</v>
      </c>
    </row>
    <row r="110" spans="1:14" ht="26.5" thickBot="1" x14ac:dyDescent="0.4">
      <c r="A110">
        <v>325</v>
      </c>
      <c r="B110" s="1" t="s">
        <v>30</v>
      </c>
      <c r="C110" s="2">
        <v>165.5</v>
      </c>
      <c r="F110" s="1" t="s">
        <v>34</v>
      </c>
      <c r="G110" s="2">
        <v>165.5</v>
      </c>
      <c r="J110" s="1" t="s">
        <v>33</v>
      </c>
      <c r="K110" s="2">
        <v>165.5</v>
      </c>
      <c r="M110" s="2">
        <v>2022</v>
      </c>
      <c r="N110" s="1" t="s">
        <v>35</v>
      </c>
    </row>
    <row r="111" spans="1:14" ht="26.5" thickBot="1" x14ac:dyDescent="0.4">
      <c r="A111">
        <v>328</v>
      </c>
      <c r="B111" s="1" t="s">
        <v>30</v>
      </c>
      <c r="C111" s="2">
        <v>165.3</v>
      </c>
      <c r="F111" s="1" t="s">
        <v>34</v>
      </c>
      <c r="G111" s="2">
        <v>165.3</v>
      </c>
      <c r="J111" s="1" t="s">
        <v>33</v>
      </c>
      <c r="K111" s="2">
        <v>165.3</v>
      </c>
      <c r="M111" s="2">
        <v>2022</v>
      </c>
      <c r="N111" s="1" t="s">
        <v>36</v>
      </c>
    </row>
    <row r="112" spans="1:14" ht="26.5" thickBot="1" x14ac:dyDescent="0.4">
      <c r="A112">
        <v>331</v>
      </c>
      <c r="B112" s="1" t="s">
        <v>30</v>
      </c>
      <c r="C112" s="2">
        <v>167</v>
      </c>
      <c r="F112" s="1" t="s">
        <v>34</v>
      </c>
      <c r="G112" s="2">
        <v>167</v>
      </c>
      <c r="J112" s="1" t="s">
        <v>33</v>
      </c>
      <c r="K112" s="2">
        <v>167</v>
      </c>
      <c r="M112" s="2">
        <v>2022</v>
      </c>
      <c r="N112" s="1" t="s">
        <v>37</v>
      </c>
    </row>
    <row r="113" spans="1:14" ht="26.5" thickBot="1" x14ac:dyDescent="0.4">
      <c r="A113">
        <v>334</v>
      </c>
      <c r="B113" s="1" t="s">
        <v>30</v>
      </c>
      <c r="C113" s="2">
        <v>167.5</v>
      </c>
      <c r="F113" s="1" t="s">
        <v>34</v>
      </c>
      <c r="G113" s="2">
        <v>167.5</v>
      </c>
      <c r="J113" s="1" t="s">
        <v>33</v>
      </c>
      <c r="K113" s="2">
        <v>167.5</v>
      </c>
      <c r="M113" s="2">
        <v>2022</v>
      </c>
      <c r="N113" s="1" t="s">
        <v>38</v>
      </c>
    </row>
    <row r="114" spans="1:14" ht="26.5" thickBot="1" x14ac:dyDescent="0.4">
      <c r="A114">
        <v>337</v>
      </c>
      <c r="B114" s="1" t="s">
        <v>30</v>
      </c>
      <c r="C114" s="2">
        <v>166.8</v>
      </c>
      <c r="F114" s="1" t="s">
        <v>34</v>
      </c>
      <c r="G114" s="2">
        <v>166.8</v>
      </c>
      <c r="J114" s="1" t="s">
        <v>33</v>
      </c>
      <c r="K114" s="2">
        <v>166.8</v>
      </c>
      <c r="M114" s="2">
        <v>2022</v>
      </c>
      <c r="N114" s="1" t="s">
        <v>39</v>
      </c>
    </row>
    <row r="115" spans="1:14" ht="26.5" thickBot="1" x14ac:dyDescent="0.4">
      <c r="A115">
        <v>340</v>
      </c>
      <c r="B115" s="1" t="s">
        <v>30</v>
      </c>
      <c r="C115" s="2">
        <v>167.8</v>
      </c>
      <c r="F115" s="1" t="s">
        <v>34</v>
      </c>
      <c r="G115" s="2">
        <v>167.8</v>
      </c>
      <c r="J115" s="1" t="s">
        <v>33</v>
      </c>
      <c r="K115" s="2">
        <v>167.8</v>
      </c>
      <c r="M115" s="2">
        <v>2022</v>
      </c>
      <c r="N115" s="1" t="s">
        <v>40</v>
      </c>
    </row>
    <row r="116" spans="1:14" ht="26.5" thickBot="1" x14ac:dyDescent="0.4">
      <c r="A116">
        <v>343</v>
      </c>
      <c r="B116" s="1" t="s">
        <v>30</v>
      </c>
      <c r="C116" s="2">
        <v>169</v>
      </c>
      <c r="F116" s="1" t="s">
        <v>34</v>
      </c>
      <c r="G116" s="2">
        <v>169</v>
      </c>
      <c r="J116" s="1" t="s">
        <v>33</v>
      </c>
      <c r="K116" s="2">
        <v>169</v>
      </c>
      <c r="M116" s="2">
        <v>2022</v>
      </c>
      <c r="N116" s="1" t="s">
        <v>41</v>
      </c>
    </row>
    <row r="117" spans="1:14" ht="26.5" thickBot="1" x14ac:dyDescent="0.4">
      <c r="A117">
        <v>346</v>
      </c>
      <c r="B117" s="1" t="s">
        <v>30</v>
      </c>
      <c r="C117" s="2">
        <v>169.5</v>
      </c>
      <c r="F117" s="1" t="s">
        <v>34</v>
      </c>
      <c r="G117" s="2">
        <v>169.5</v>
      </c>
      <c r="J117" s="1" t="s">
        <v>33</v>
      </c>
      <c r="K117" s="2">
        <v>169.5</v>
      </c>
      <c r="M117" s="2">
        <v>2022</v>
      </c>
      <c r="N117" s="1" t="s">
        <v>42</v>
      </c>
    </row>
    <row r="118" spans="1:14" ht="26.5" thickBot="1" x14ac:dyDescent="0.4">
      <c r="A118">
        <v>349</v>
      </c>
      <c r="B118" s="1" t="s">
        <v>30</v>
      </c>
      <c r="C118" s="2">
        <v>171.2</v>
      </c>
      <c r="F118" s="1" t="s">
        <v>34</v>
      </c>
      <c r="G118" s="2">
        <v>171.2</v>
      </c>
      <c r="J118" s="1" t="s">
        <v>33</v>
      </c>
      <c r="K118" s="2">
        <v>171.2</v>
      </c>
      <c r="M118" s="2">
        <v>2022</v>
      </c>
      <c r="N118" s="1" t="s">
        <v>43</v>
      </c>
    </row>
    <row r="119" spans="1:14" ht="26.5" thickBot="1" x14ac:dyDescent="0.4">
      <c r="A119">
        <v>352</v>
      </c>
      <c r="B119" s="1" t="s">
        <v>30</v>
      </c>
      <c r="C119" s="2">
        <v>171.8</v>
      </c>
      <c r="F119" s="1" t="s">
        <v>34</v>
      </c>
      <c r="G119" s="2">
        <v>171.8</v>
      </c>
      <c r="J119" s="1" t="s">
        <v>33</v>
      </c>
      <c r="K119" s="2">
        <v>171.8</v>
      </c>
      <c r="M119" s="2">
        <v>2022</v>
      </c>
      <c r="N119" s="1" t="s">
        <v>44</v>
      </c>
    </row>
    <row r="120" spans="1:14" ht="26.5" thickBot="1" x14ac:dyDescent="0.4">
      <c r="A120">
        <v>355</v>
      </c>
      <c r="B120" s="1" t="s">
        <v>30</v>
      </c>
      <c r="C120" s="2">
        <v>170.7</v>
      </c>
      <c r="F120" s="1" t="s">
        <v>34</v>
      </c>
      <c r="G120" s="2">
        <v>170.7</v>
      </c>
      <c r="J120" s="1" t="s">
        <v>33</v>
      </c>
      <c r="K120" s="2">
        <v>170.7</v>
      </c>
      <c r="M120" s="2">
        <v>2022</v>
      </c>
      <c r="N120" s="1" t="s">
        <v>45</v>
      </c>
    </row>
    <row r="121" spans="1:14" ht="26.5" thickBot="1" x14ac:dyDescent="0.4">
      <c r="A121">
        <v>358</v>
      </c>
      <c r="B121" s="1" t="s">
        <v>30</v>
      </c>
      <c r="C121" s="2">
        <v>172.1</v>
      </c>
      <c r="F121" s="1" t="s">
        <v>34</v>
      </c>
      <c r="G121" s="2">
        <v>172.1</v>
      </c>
      <c r="J121" s="1" t="s">
        <v>33</v>
      </c>
      <c r="K121" s="2">
        <v>172.1</v>
      </c>
      <c r="M121" s="2">
        <v>2023</v>
      </c>
      <c r="N121" s="1" t="s">
        <v>31</v>
      </c>
    </row>
    <row r="122" spans="1:14" ht="26.5" thickBot="1" x14ac:dyDescent="0.4">
      <c r="A122">
        <v>361</v>
      </c>
      <c r="B122" s="1" t="s">
        <v>30</v>
      </c>
      <c r="C122" s="2">
        <v>173.5</v>
      </c>
      <c r="F122" s="1" t="s">
        <v>34</v>
      </c>
      <c r="G122" s="2">
        <v>173.5</v>
      </c>
      <c r="J122" s="1" t="s">
        <v>33</v>
      </c>
      <c r="K122" s="2">
        <v>173.5</v>
      </c>
      <c r="M122" s="2">
        <v>2023</v>
      </c>
      <c r="N122" s="1" t="s">
        <v>35</v>
      </c>
    </row>
    <row r="123" spans="1:14" ht="26.5" thickBot="1" x14ac:dyDescent="0.4">
      <c r="A123">
        <v>364</v>
      </c>
      <c r="B123" s="1" t="s">
        <v>30</v>
      </c>
      <c r="C123" s="2">
        <v>173.5</v>
      </c>
      <c r="F123" s="1" t="s">
        <v>34</v>
      </c>
      <c r="G123" s="2">
        <v>173.5</v>
      </c>
      <c r="J123" s="1" t="s">
        <v>33</v>
      </c>
      <c r="K123" s="2">
        <v>173.5</v>
      </c>
      <c r="M123" s="2">
        <v>2023</v>
      </c>
      <c r="N123" s="1" t="s">
        <v>36</v>
      </c>
    </row>
    <row r="124" spans="1:14" ht="26.5" thickBot="1" x14ac:dyDescent="0.4">
      <c r="A124">
        <v>367</v>
      </c>
      <c r="B124" s="1" t="s">
        <v>30</v>
      </c>
      <c r="C124" s="2">
        <v>175.2</v>
      </c>
      <c r="F124" s="1" t="s">
        <v>34</v>
      </c>
      <c r="G124" s="2">
        <v>175.2</v>
      </c>
      <c r="J124" s="1" t="s">
        <v>33</v>
      </c>
      <c r="K124" s="2">
        <v>175.2</v>
      </c>
      <c r="M124" s="2">
        <v>2023</v>
      </c>
      <c r="N124" s="1" t="s">
        <v>37</v>
      </c>
    </row>
    <row r="125" spans="1:14" ht="26.5" thickBot="1" x14ac:dyDescent="0.4">
      <c r="A125">
        <v>370</v>
      </c>
      <c r="B125" s="1" t="s">
        <v>30</v>
      </c>
      <c r="C125" s="2">
        <v>175.6</v>
      </c>
      <c r="F125" s="1" t="s">
        <v>34</v>
      </c>
      <c r="G125" s="2">
        <v>175.6</v>
      </c>
      <c r="J125" s="1" t="s">
        <v>33</v>
      </c>
      <c r="K125" s="2">
        <v>175.6</v>
      </c>
      <c r="M125" s="2">
        <v>2023</v>
      </c>
      <c r="N125" s="1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284A7-3A0B-4B49-8F1B-47CDC19BD671}">
  <dimension ref="A1:AE44"/>
  <sheetViews>
    <sheetView zoomScale="85" zoomScaleNormal="85" workbookViewId="0">
      <selection activeCell="A44" sqref="A44"/>
    </sheetView>
  </sheetViews>
  <sheetFormatPr defaultRowHeight="14.5" x14ac:dyDescent="0.35"/>
  <cols>
    <col min="1" max="1" width="14.36328125" customWidth="1"/>
    <col min="2" max="2" width="10.54296875" customWidth="1"/>
    <col min="3" max="3" width="13.36328125" customWidth="1"/>
    <col min="4" max="4" width="11.36328125" bestFit="1" customWidth="1"/>
  </cols>
  <sheetData>
    <row r="1" spans="1:31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3</v>
      </c>
      <c r="F1" s="14" t="s">
        <v>4</v>
      </c>
      <c r="G1" s="14" t="s">
        <v>5</v>
      </c>
      <c r="H1" s="14" t="s">
        <v>6</v>
      </c>
      <c r="I1" s="14" t="s">
        <v>7</v>
      </c>
      <c r="J1" s="14" t="s">
        <v>8</v>
      </c>
      <c r="K1" s="14" t="s">
        <v>9</v>
      </c>
      <c r="L1" s="14" t="s">
        <v>10</v>
      </c>
      <c r="M1" s="14" t="s">
        <v>11</v>
      </c>
      <c r="N1" s="14" t="s">
        <v>12</v>
      </c>
      <c r="O1" s="14" t="s">
        <v>13</v>
      </c>
      <c r="P1" s="14" t="s">
        <v>14</v>
      </c>
      <c r="Q1" s="14" t="s">
        <v>15</v>
      </c>
      <c r="R1" s="14" t="s">
        <v>16</v>
      </c>
      <c r="S1" s="14" t="s">
        <v>17</v>
      </c>
      <c r="T1" s="14" t="s">
        <v>18</v>
      </c>
      <c r="U1" s="14" t="s">
        <v>19</v>
      </c>
      <c r="V1" s="14" t="s">
        <v>20</v>
      </c>
      <c r="W1" s="14" t="s">
        <v>21</v>
      </c>
      <c r="X1" s="14" t="s">
        <v>22</v>
      </c>
      <c r="Y1" s="14" t="s">
        <v>23</v>
      </c>
      <c r="Z1" s="14" t="s">
        <v>24</v>
      </c>
      <c r="AA1" s="14" t="s">
        <v>25</v>
      </c>
      <c r="AB1" s="14" t="s">
        <v>26</v>
      </c>
      <c r="AC1" s="14" t="s">
        <v>27</v>
      </c>
      <c r="AD1" s="14" t="s">
        <v>28</v>
      </c>
      <c r="AE1" s="14" t="s">
        <v>29</v>
      </c>
    </row>
    <row r="2" spans="1:31" ht="15" thickBot="1" x14ac:dyDescent="0.4">
      <c r="A2">
        <v>370</v>
      </c>
      <c r="B2" s="1" t="s">
        <v>30</v>
      </c>
      <c r="C2" s="2">
        <v>2023</v>
      </c>
      <c r="D2" s="1" t="s">
        <v>38</v>
      </c>
      <c r="E2" s="2">
        <v>173.2</v>
      </c>
      <c r="F2" s="2">
        <v>211.5</v>
      </c>
      <c r="G2" s="2">
        <v>171</v>
      </c>
      <c r="H2" s="2">
        <v>179.6</v>
      </c>
      <c r="I2" s="2">
        <v>173.3</v>
      </c>
      <c r="J2" s="2">
        <v>169</v>
      </c>
      <c r="K2" s="2">
        <v>148.69999999999999</v>
      </c>
      <c r="L2" s="2">
        <v>174.9</v>
      </c>
      <c r="M2" s="2">
        <v>121.9</v>
      </c>
      <c r="N2" s="2">
        <v>221</v>
      </c>
      <c r="O2" s="2">
        <v>178.7</v>
      </c>
      <c r="P2" s="2">
        <v>191.1</v>
      </c>
      <c r="Q2" s="2">
        <v>176.8</v>
      </c>
      <c r="R2" s="2">
        <v>199.9</v>
      </c>
      <c r="S2" s="2">
        <v>191.2</v>
      </c>
      <c r="T2" s="2">
        <v>187.9</v>
      </c>
      <c r="U2" s="2">
        <v>190.8</v>
      </c>
      <c r="V2" s="2">
        <v>175.6</v>
      </c>
      <c r="W2" s="2">
        <v>182.5</v>
      </c>
      <c r="X2" s="2">
        <v>179.8</v>
      </c>
      <c r="Y2" s="2">
        <v>187.8</v>
      </c>
      <c r="Z2" s="2">
        <v>169.7</v>
      </c>
      <c r="AA2" s="2">
        <v>173.8</v>
      </c>
      <c r="AB2" s="2">
        <v>180.3</v>
      </c>
      <c r="AC2" s="2">
        <v>184.9</v>
      </c>
      <c r="AD2" s="2">
        <v>179.5</v>
      </c>
      <c r="AE2" s="2">
        <v>179.8</v>
      </c>
    </row>
    <row r="3" spans="1:31" ht="15" thickBot="1" x14ac:dyDescent="0.4">
      <c r="A3">
        <v>371</v>
      </c>
      <c r="B3" s="1" t="s">
        <v>33</v>
      </c>
      <c r="C3" s="2">
        <v>2023</v>
      </c>
      <c r="D3" s="1" t="s">
        <v>38</v>
      </c>
      <c r="E3" s="2">
        <v>174.7</v>
      </c>
      <c r="F3" s="2">
        <v>219.4</v>
      </c>
      <c r="G3" s="2">
        <v>176.7</v>
      </c>
      <c r="H3" s="2">
        <v>179.4</v>
      </c>
      <c r="I3" s="2">
        <v>164.4</v>
      </c>
      <c r="J3" s="2">
        <v>175.8</v>
      </c>
      <c r="K3" s="2">
        <v>185</v>
      </c>
      <c r="L3" s="2">
        <v>176.9</v>
      </c>
      <c r="M3" s="2">
        <v>124.2</v>
      </c>
      <c r="N3" s="2">
        <v>211.9</v>
      </c>
      <c r="O3" s="2">
        <v>165.9</v>
      </c>
      <c r="P3" s="2">
        <v>197.7</v>
      </c>
      <c r="Q3" s="2">
        <v>183.1</v>
      </c>
      <c r="R3" s="2">
        <v>204.2</v>
      </c>
      <c r="S3" s="2">
        <v>181.3</v>
      </c>
      <c r="T3" s="2">
        <v>168.1</v>
      </c>
      <c r="U3" s="2">
        <v>179.3</v>
      </c>
      <c r="V3" s="2">
        <v>175.6</v>
      </c>
      <c r="W3" s="2">
        <v>183.4</v>
      </c>
      <c r="X3" s="2">
        <v>170.1</v>
      </c>
      <c r="Y3" s="2">
        <v>182.2</v>
      </c>
      <c r="Z3" s="2">
        <v>160.4</v>
      </c>
      <c r="AA3" s="2">
        <v>169.2</v>
      </c>
      <c r="AB3" s="2">
        <v>174.8</v>
      </c>
      <c r="AC3" s="2">
        <v>185.6</v>
      </c>
      <c r="AD3" s="2">
        <v>171.6</v>
      </c>
      <c r="AE3" s="2">
        <v>178.2</v>
      </c>
    </row>
    <row r="4" spans="1:31" ht="26.5" thickBot="1" x14ac:dyDescent="0.4">
      <c r="A4">
        <v>372</v>
      </c>
      <c r="B4" s="1" t="s">
        <v>34</v>
      </c>
      <c r="C4" s="2">
        <v>2023</v>
      </c>
      <c r="D4" s="1" t="s">
        <v>38</v>
      </c>
      <c r="E4" s="2">
        <v>173.7</v>
      </c>
      <c r="F4" s="2">
        <v>214.3</v>
      </c>
      <c r="G4" s="2">
        <v>173.2</v>
      </c>
      <c r="H4" s="2">
        <v>179.5</v>
      </c>
      <c r="I4" s="2">
        <v>170</v>
      </c>
      <c r="J4" s="2">
        <v>172.2</v>
      </c>
      <c r="K4" s="2">
        <v>161</v>
      </c>
      <c r="L4" s="2">
        <v>175.6</v>
      </c>
      <c r="M4" s="2">
        <v>122.7</v>
      </c>
      <c r="N4" s="2">
        <v>218</v>
      </c>
      <c r="O4" s="2">
        <v>173.4</v>
      </c>
      <c r="P4" s="2">
        <v>194.2</v>
      </c>
      <c r="Q4" s="2">
        <v>179.1</v>
      </c>
      <c r="R4" s="2">
        <v>201</v>
      </c>
      <c r="S4" s="2">
        <v>187.3</v>
      </c>
      <c r="T4" s="2">
        <v>179.7</v>
      </c>
      <c r="U4" s="2">
        <v>186.2</v>
      </c>
      <c r="V4" s="2">
        <v>175.6</v>
      </c>
      <c r="W4" s="2">
        <v>182.8</v>
      </c>
      <c r="X4" s="2">
        <v>175.2</v>
      </c>
      <c r="Y4" s="2">
        <v>185.7</v>
      </c>
      <c r="Z4" s="2">
        <v>164.8</v>
      </c>
      <c r="AA4" s="2">
        <v>171.2</v>
      </c>
      <c r="AB4" s="2">
        <v>177.1</v>
      </c>
      <c r="AC4" s="2">
        <v>185.2</v>
      </c>
      <c r="AD4" s="2">
        <v>175.7</v>
      </c>
      <c r="AE4" s="2">
        <v>179.1</v>
      </c>
    </row>
    <row r="6" spans="1:31" ht="15" thickBot="1" x14ac:dyDescent="0.4"/>
    <row r="7" spans="1:31" ht="15" thickBot="1" x14ac:dyDescent="0.4">
      <c r="C7" s="21" t="s">
        <v>52</v>
      </c>
      <c r="D7" s="21" t="s">
        <v>16</v>
      </c>
      <c r="E7" s="22" t="s">
        <v>49</v>
      </c>
      <c r="F7" s="21" t="s">
        <v>19</v>
      </c>
      <c r="G7" s="21" t="s">
        <v>50</v>
      </c>
      <c r="I7" s="24" t="s">
        <v>54</v>
      </c>
    </row>
    <row r="8" spans="1:31" ht="15" thickBot="1" x14ac:dyDescent="0.4">
      <c r="B8" t="s">
        <v>30</v>
      </c>
      <c r="C8" s="20">
        <v>176.20769230769235</v>
      </c>
      <c r="D8" s="2">
        <v>199.9</v>
      </c>
      <c r="E8" s="20">
        <v>179.30000000000004</v>
      </c>
      <c r="F8" s="20">
        <v>189.9666666666667</v>
      </c>
      <c r="G8" s="20">
        <v>179.33333333333334</v>
      </c>
      <c r="I8" s="20">
        <f>SUM(C8:G8)</f>
        <v>924.70769230769247</v>
      </c>
    </row>
    <row r="9" spans="1:31" ht="15" thickBot="1" x14ac:dyDescent="0.4">
      <c r="A9" s="69" t="s">
        <v>53</v>
      </c>
      <c r="B9" t="s">
        <v>33</v>
      </c>
      <c r="C9" s="20">
        <v>179.62307692307692</v>
      </c>
      <c r="D9" s="2">
        <v>204.2</v>
      </c>
      <c r="E9" s="20">
        <v>176.36666666666667</v>
      </c>
      <c r="F9" s="20">
        <v>176.23333333333335</v>
      </c>
      <c r="G9" s="20">
        <v>173.96666666666667</v>
      </c>
      <c r="I9" s="20">
        <f t="shared" ref="I9:I10" si="0">SUM(C9:G9)</f>
        <v>910.3897435897436</v>
      </c>
    </row>
    <row r="10" spans="1:31" ht="15" thickBot="1" x14ac:dyDescent="0.4">
      <c r="B10" t="s">
        <v>34</v>
      </c>
      <c r="C10" s="20">
        <v>177.45384615384617</v>
      </c>
      <c r="D10" s="18">
        <v>201</v>
      </c>
      <c r="E10" s="20">
        <v>177.86666666666665</v>
      </c>
      <c r="F10" s="20">
        <v>184.4</v>
      </c>
      <c r="G10" s="20">
        <v>176.61666666666667</v>
      </c>
      <c r="I10" s="20">
        <f t="shared" si="0"/>
        <v>917.33717948717947</v>
      </c>
    </row>
    <row r="15" spans="1:31" x14ac:dyDescent="0.35">
      <c r="C15" s="25" t="s">
        <v>52</v>
      </c>
      <c r="D15" s="28">
        <f>C8/I8*100</f>
        <v>19.055501946561076</v>
      </c>
    </row>
    <row r="16" spans="1:31" ht="29" x14ac:dyDescent="0.35">
      <c r="C16" s="26" t="s">
        <v>56</v>
      </c>
      <c r="D16" s="27">
        <f>D8/I8*100</f>
        <v>21.617642165507601</v>
      </c>
    </row>
    <row r="17" spans="1:4" ht="43.5" x14ac:dyDescent="0.35">
      <c r="A17" s="68" t="s">
        <v>55</v>
      </c>
      <c r="C17" s="25" t="s">
        <v>49</v>
      </c>
      <c r="D17" s="27">
        <f>E8/I8*100</f>
        <v>19.389911156956043</v>
      </c>
    </row>
    <row r="18" spans="1:4" x14ac:dyDescent="0.35">
      <c r="C18" s="25" t="s">
        <v>17</v>
      </c>
      <c r="D18" s="27">
        <f>F8/I8*100</f>
        <v>20.543428831286946</v>
      </c>
    </row>
    <row r="19" spans="1:4" x14ac:dyDescent="0.35">
      <c r="C19" s="25" t="s">
        <v>50</v>
      </c>
      <c r="D19" s="27">
        <f>G8/I8*100</f>
        <v>19.393515899688328</v>
      </c>
    </row>
    <row r="22" spans="1:4" x14ac:dyDescent="0.35">
      <c r="C22" s="29" t="s">
        <v>52</v>
      </c>
      <c r="D22" s="27">
        <f>C9/I9*100</f>
        <v>19.730349357277245</v>
      </c>
    </row>
    <row r="23" spans="1:4" ht="29" x14ac:dyDescent="0.35">
      <c r="C23" s="30" t="s">
        <v>56</v>
      </c>
      <c r="D23" s="27">
        <f>D9/I9*100</f>
        <v>22.429953922242372</v>
      </c>
    </row>
    <row r="24" spans="1:4" ht="43.5" x14ac:dyDescent="0.35">
      <c r="A24" s="68" t="s">
        <v>57</v>
      </c>
      <c r="C24" s="29" t="s">
        <v>49</v>
      </c>
      <c r="D24" s="27">
        <f>E9/I9*100</f>
        <v>19.372655273030428</v>
      </c>
    </row>
    <row r="25" spans="1:4" x14ac:dyDescent="0.35">
      <c r="C25" s="29" t="s">
        <v>17</v>
      </c>
      <c r="D25" s="27">
        <f>F9/I9*100</f>
        <v>19.358009530998277</v>
      </c>
    </row>
    <row r="26" spans="1:4" x14ac:dyDescent="0.35">
      <c r="C26" s="29" t="s">
        <v>50</v>
      </c>
      <c r="D26" s="27">
        <f>G9/I9*100</f>
        <v>19.109031916451674</v>
      </c>
    </row>
    <row r="27" spans="1:4" x14ac:dyDescent="0.35">
      <c r="D27" s="20"/>
    </row>
    <row r="28" spans="1:4" x14ac:dyDescent="0.35">
      <c r="D28" s="20"/>
    </row>
    <row r="29" spans="1:4" x14ac:dyDescent="0.35">
      <c r="C29" s="29" t="s">
        <v>52</v>
      </c>
      <c r="D29" s="27">
        <f>C10/I10*100</f>
        <v>19.344451541040613</v>
      </c>
    </row>
    <row r="30" spans="1:4" ht="29" x14ac:dyDescent="0.35">
      <c r="C30" s="30" t="s">
        <v>56</v>
      </c>
      <c r="D30" s="27">
        <f>D10/I10*100</f>
        <v>21.911245340820631</v>
      </c>
    </row>
    <row r="31" spans="1:4" ht="43.5" x14ac:dyDescent="0.35">
      <c r="A31" s="68" t="s">
        <v>57</v>
      </c>
      <c r="C31" s="29" t="s">
        <v>49</v>
      </c>
      <c r="D31" s="27">
        <f>E10/I10*100</f>
        <v>19.38945358849401</v>
      </c>
    </row>
    <row r="32" spans="1:4" x14ac:dyDescent="0.35">
      <c r="C32" s="29" t="s">
        <v>17</v>
      </c>
      <c r="D32" s="27">
        <f>F10/I10*100</f>
        <v>20.101659904713056</v>
      </c>
    </row>
    <row r="33" spans="1:4" x14ac:dyDescent="0.35">
      <c r="C33" s="29" t="s">
        <v>50</v>
      </c>
      <c r="D33" s="27">
        <f>G10/I10*100</f>
        <v>19.253189624931693</v>
      </c>
    </row>
    <row r="44" spans="1:4" x14ac:dyDescent="0.35">
      <c r="A44" s="69" t="s">
        <v>58</v>
      </c>
      <c r="B44" t="s">
        <v>59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A1517-397E-4A79-84C3-F8984F24DEEE}">
  <sheetPr filterMode="1"/>
  <dimension ref="A1:R373"/>
  <sheetViews>
    <sheetView topLeftCell="A196" workbookViewId="0">
      <selection activeCell="L175" sqref="L175"/>
    </sheetView>
  </sheetViews>
  <sheetFormatPr defaultRowHeight="14.5" x14ac:dyDescent="0.35"/>
  <cols>
    <col min="7" max="7" width="8.7265625" style="20"/>
  </cols>
  <sheetData>
    <row r="1" spans="1:7" ht="15" thickBot="1" x14ac:dyDescent="0.4">
      <c r="A1" s="13" t="s">
        <v>51</v>
      </c>
      <c r="B1" s="14" t="s">
        <v>0</v>
      </c>
      <c r="C1" s="14" t="s">
        <v>1</v>
      </c>
      <c r="D1" s="14" t="s">
        <v>2</v>
      </c>
      <c r="E1" s="14" t="s">
        <v>29</v>
      </c>
      <c r="G1" s="31" t="s">
        <v>60</v>
      </c>
    </row>
    <row r="2" spans="1:7" ht="15" hidden="1" thickBot="1" x14ac:dyDescent="0.4">
      <c r="A2">
        <v>1</v>
      </c>
      <c r="B2" s="10" t="s">
        <v>30</v>
      </c>
      <c r="C2" s="11">
        <v>2013</v>
      </c>
      <c r="D2" s="10" t="s">
        <v>31</v>
      </c>
      <c r="E2" s="11">
        <v>105.1</v>
      </c>
      <c r="G2"/>
    </row>
    <row r="3" spans="1:7" ht="15" hidden="1" thickBot="1" x14ac:dyDescent="0.4">
      <c r="A3">
        <v>2</v>
      </c>
      <c r="B3" s="1" t="s">
        <v>33</v>
      </c>
      <c r="C3" s="2">
        <v>2013</v>
      </c>
      <c r="D3" s="1" t="s">
        <v>31</v>
      </c>
      <c r="E3" s="2">
        <v>104</v>
      </c>
      <c r="G3"/>
    </row>
    <row r="4" spans="1:7" ht="26.5" hidden="1" thickBot="1" x14ac:dyDescent="0.4">
      <c r="A4">
        <v>3</v>
      </c>
      <c r="B4" s="1" t="s">
        <v>34</v>
      </c>
      <c r="C4" s="2">
        <v>2013</v>
      </c>
      <c r="D4" s="1" t="s">
        <v>31</v>
      </c>
      <c r="E4" s="2">
        <v>104.6</v>
      </c>
      <c r="G4"/>
    </row>
    <row r="5" spans="1:7" ht="15" hidden="1" thickBot="1" x14ac:dyDescent="0.4">
      <c r="A5">
        <v>4</v>
      </c>
      <c r="B5" s="1" t="s">
        <v>30</v>
      </c>
      <c r="C5" s="2">
        <v>2013</v>
      </c>
      <c r="D5" s="1" t="s">
        <v>35</v>
      </c>
      <c r="E5" s="2">
        <v>105.8</v>
      </c>
      <c r="G5"/>
    </row>
    <row r="6" spans="1:7" ht="15" hidden="1" thickBot="1" x14ac:dyDescent="0.4">
      <c r="A6">
        <v>5</v>
      </c>
      <c r="B6" s="1" t="s">
        <v>33</v>
      </c>
      <c r="C6" s="2">
        <v>2013</v>
      </c>
      <c r="D6" s="1" t="s">
        <v>35</v>
      </c>
      <c r="E6" s="2">
        <v>104.7</v>
      </c>
      <c r="G6"/>
    </row>
    <row r="7" spans="1:7" ht="26.5" hidden="1" thickBot="1" x14ac:dyDescent="0.4">
      <c r="A7">
        <v>6</v>
      </c>
      <c r="B7" s="1" t="s">
        <v>34</v>
      </c>
      <c r="C7" s="2">
        <v>2013</v>
      </c>
      <c r="D7" s="1" t="s">
        <v>35</v>
      </c>
      <c r="E7" s="2">
        <v>105.3</v>
      </c>
      <c r="G7"/>
    </row>
    <row r="8" spans="1:7" ht="15" hidden="1" thickBot="1" x14ac:dyDescent="0.4">
      <c r="A8">
        <v>7</v>
      </c>
      <c r="B8" s="1" t="s">
        <v>30</v>
      </c>
      <c r="C8" s="2">
        <v>2013</v>
      </c>
      <c r="D8" s="1" t="s">
        <v>36</v>
      </c>
      <c r="E8" s="2">
        <v>106</v>
      </c>
      <c r="G8"/>
    </row>
    <row r="9" spans="1:7" ht="15" hidden="1" thickBot="1" x14ac:dyDescent="0.4">
      <c r="A9">
        <v>8</v>
      </c>
      <c r="B9" s="1" t="s">
        <v>33</v>
      </c>
      <c r="C9" s="2">
        <v>2013</v>
      </c>
      <c r="D9" s="1" t="s">
        <v>36</v>
      </c>
      <c r="E9" s="2">
        <v>105</v>
      </c>
      <c r="G9"/>
    </row>
    <row r="10" spans="1:7" ht="26.5" hidden="1" thickBot="1" x14ac:dyDescent="0.4">
      <c r="A10">
        <v>9</v>
      </c>
      <c r="B10" s="1" t="s">
        <v>34</v>
      </c>
      <c r="C10" s="2">
        <v>2013</v>
      </c>
      <c r="D10" s="1" t="s">
        <v>36</v>
      </c>
      <c r="E10" s="2">
        <v>105.5</v>
      </c>
      <c r="G10"/>
    </row>
    <row r="11" spans="1:7" ht="15" hidden="1" thickBot="1" x14ac:dyDescent="0.4">
      <c r="A11">
        <v>10</v>
      </c>
      <c r="B11" s="1" t="s">
        <v>30</v>
      </c>
      <c r="C11" s="2">
        <v>2013</v>
      </c>
      <c r="D11" s="1" t="s">
        <v>37</v>
      </c>
      <c r="E11" s="2">
        <v>106.4</v>
      </c>
      <c r="G11"/>
    </row>
    <row r="12" spans="1:7" ht="15" hidden="1" thickBot="1" x14ac:dyDescent="0.4">
      <c r="A12">
        <v>11</v>
      </c>
      <c r="B12" s="1" t="s">
        <v>33</v>
      </c>
      <c r="C12" s="2">
        <v>2013</v>
      </c>
      <c r="D12" s="1" t="s">
        <v>37</v>
      </c>
      <c r="E12" s="2">
        <v>105.7</v>
      </c>
      <c r="G12"/>
    </row>
    <row r="13" spans="1:7" ht="26.5" hidden="1" thickBot="1" x14ac:dyDescent="0.4">
      <c r="A13">
        <v>12</v>
      </c>
      <c r="B13" s="1" t="s">
        <v>34</v>
      </c>
      <c r="C13" s="2">
        <v>2013</v>
      </c>
      <c r="D13" s="1" t="s">
        <v>37</v>
      </c>
      <c r="E13" s="2">
        <v>106.1</v>
      </c>
      <c r="G13"/>
    </row>
    <row r="14" spans="1:7" ht="15" hidden="1" thickBot="1" x14ac:dyDescent="0.4">
      <c r="A14">
        <v>13</v>
      </c>
      <c r="B14" s="1" t="s">
        <v>30</v>
      </c>
      <c r="C14" s="2">
        <v>2013</v>
      </c>
      <c r="D14" s="1" t="s">
        <v>38</v>
      </c>
      <c r="E14" s="2">
        <v>107.2</v>
      </c>
      <c r="G14"/>
    </row>
    <row r="15" spans="1:7" ht="15" hidden="1" thickBot="1" x14ac:dyDescent="0.4">
      <c r="A15">
        <v>14</v>
      </c>
      <c r="B15" s="1" t="s">
        <v>33</v>
      </c>
      <c r="C15" s="2">
        <v>2013</v>
      </c>
      <c r="D15" s="1" t="s">
        <v>38</v>
      </c>
      <c r="E15" s="2">
        <v>106.6</v>
      </c>
      <c r="G15"/>
    </row>
    <row r="16" spans="1:7" ht="26.5" hidden="1" thickBot="1" x14ac:dyDescent="0.4">
      <c r="A16">
        <v>15</v>
      </c>
      <c r="B16" s="1" t="s">
        <v>34</v>
      </c>
      <c r="C16" s="2">
        <v>2013</v>
      </c>
      <c r="D16" s="1" t="s">
        <v>38</v>
      </c>
      <c r="E16" s="2">
        <v>106.9</v>
      </c>
      <c r="G16"/>
    </row>
    <row r="17" spans="1:7" ht="15" hidden="1" thickBot="1" x14ac:dyDescent="0.4">
      <c r="A17">
        <v>16</v>
      </c>
      <c r="B17" s="1" t="s">
        <v>30</v>
      </c>
      <c r="C17" s="2">
        <v>2013</v>
      </c>
      <c r="D17" s="1" t="s">
        <v>39</v>
      </c>
      <c r="E17" s="2">
        <v>108.9</v>
      </c>
      <c r="G17"/>
    </row>
    <row r="18" spans="1:7" ht="15" hidden="1" thickBot="1" x14ac:dyDescent="0.4">
      <c r="A18">
        <v>17</v>
      </c>
      <c r="B18" s="1" t="s">
        <v>33</v>
      </c>
      <c r="C18" s="2">
        <v>2013</v>
      </c>
      <c r="D18" s="1" t="s">
        <v>39</v>
      </c>
      <c r="E18" s="2">
        <v>109.7</v>
      </c>
      <c r="G18"/>
    </row>
    <row r="19" spans="1:7" ht="26.5" hidden="1" thickBot="1" x14ac:dyDescent="0.4">
      <c r="A19">
        <v>18</v>
      </c>
      <c r="B19" s="1" t="s">
        <v>34</v>
      </c>
      <c r="C19" s="2">
        <v>2013</v>
      </c>
      <c r="D19" s="1" t="s">
        <v>39</v>
      </c>
      <c r="E19" s="2">
        <v>109.3</v>
      </c>
      <c r="G19"/>
    </row>
    <row r="20" spans="1:7" ht="15" hidden="1" thickBot="1" x14ac:dyDescent="0.4">
      <c r="A20">
        <v>19</v>
      </c>
      <c r="B20" s="1" t="s">
        <v>30</v>
      </c>
      <c r="C20" s="2">
        <v>2013</v>
      </c>
      <c r="D20" s="1" t="s">
        <v>40</v>
      </c>
      <c r="E20" s="2">
        <v>110.7</v>
      </c>
      <c r="G20"/>
    </row>
    <row r="21" spans="1:7" ht="15" hidden="1" thickBot="1" x14ac:dyDescent="0.4">
      <c r="A21">
        <v>20</v>
      </c>
      <c r="B21" s="1" t="s">
        <v>33</v>
      </c>
      <c r="C21" s="2">
        <v>2013</v>
      </c>
      <c r="D21" s="1" t="s">
        <v>40</v>
      </c>
      <c r="E21" s="2">
        <v>111.4</v>
      </c>
      <c r="G21"/>
    </row>
    <row r="22" spans="1:7" ht="26.5" hidden="1" thickBot="1" x14ac:dyDescent="0.4">
      <c r="A22">
        <v>21</v>
      </c>
      <c r="B22" s="1" t="s">
        <v>34</v>
      </c>
      <c r="C22" s="2">
        <v>2013</v>
      </c>
      <c r="D22" s="1" t="s">
        <v>40</v>
      </c>
      <c r="E22" s="2">
        <v>111</v>
      </c>
      <c r="G22"/>
    </row>
    <row r="23" spans="1:7" ht="15" hidden="1" thickBot="1" x14ac:dyDescent="0.4">
      <c r="A23">
        <v>22</v>
      </c>
      <c r="B23" s="1" t="s">
        <v>30</v>
      </c>
      <c r="C23" s="2">
        <v>2013</v>
      </c>
      <c r="D23" s="1" t="s">
        <v>41</v>
      </c>
      <c r="E23" s="2">
        <v>112.1</v>
      </c>
      <c r="G23"/>
    </row>
    <row r="24" spans="1:7" ht="15" hidden="1" thickBot="1" x14ac:dyDescent="0.4">
      <c r="A24">
        <v>23</v>
      </c>
      <c r="B24" s="1" t="s">
        <v>33</v>
      </c>
      <c r="C24" s="2">
        <v>2013</v>
      </c>
      <c r="D24" s="1" t="s">
        <v>41</v>
      </c>
      <c r="E24" s="2">
        <v>112.7</v>
      </c>
      <c r="G24"/>
    </row>
    <row r="25" spans="1:7" ht="26.5" hidden="1" thickBot="1" x14ac:dyDescent="0.4">
      <c r="A25">
        <v>24</v>
      </c>
      <c r="B25" s="1" t="s">
        <v>34</v>
      </c>
      <c r="C25" s="2">
        <v>2013</v>
      </c>
      <c r="D25" s="1" t="s">
        <v>41</v>
      </c>
      <c r="E25" s="2">
        <v>112.4</v>
      </c>
      <c r="G25"/>
    </row>
    <row r="26" spans="1:7" ht="26.5" hidden="1" thickBot="1" x14ac:dyDescent="0.4">
      <c r="A26">
        <v>25</v>
      </c>
      <c r="B26" s="1" t="s">
        <v>30</v>
      </c>
      <c r="C26" s="2">
        <v>2013</v>
      </c>
      <c r="D26" s="1" t="s">
        <v>42</v>
      </c>
      <c r="E26" s="2">
        <v>114.2</v>
      </c>
      <c r="G26"/>
    </row>
    <row r="27" spans="1:7" ht="26.5" hidden="1" thickBot="1" x14ac:dyDescent="0.4">
      <c r="A27">
        <v>26</v>
      </c>
      <c r="B27" s="1" t="s">
        <v>33</v>
      </c>
      <c r="C27" s="2">
        <v>2013</v>
      </c>
      <c r="D27" s="1" t="s">
        <v>42</v>
      </c>
      <c r="E27" s="2">
        <v>113.2</v>
      </c>
      <c r="G27"/>
    </row>
    <row r="28" spans="1:7" ht="26.5" hidden="1" thickBot="1" x14ac:dyDescent="0.4">
      <c r="A28">
        <v>27</v>
      </c>
      <c r="B28" s="1" t="s">
        <v>34</v>
      </c>
      <c r="C28" s="2">
        <v>2013</v>
      </c>
      <c r="D28" s="1" t="s">
        <v>42</v>
      </c>
      <c r="E28" s="2">
        <v>113.7</v>
      </c>
      <c r="G28"/>
    </row>
    <row r="29" spans="1:7" ht="15" hidden="1" thickBot="1" x14ac:dyDescent="0.4">
      <c r="A29">
        <v>28</v>
      </c>
      <c r="B29" s="1" t="s">
        <v>30</v>
      </c>
      <c r="C29" s="2">
        <v>2013</v>
      </c>
      <c r="D29" s="1" t="s">
        <v>43</v>
      </c>
      <c r="E29" s="2">
        <v>115.5</v>
      </c>
      <c r="G29"/>
    </row>
    <row r="30" spans="1:7" ht="15" hidden="1" thickBot="1" x14ac:dyDescent="0.4">
      <c r="A30">
        <v>29</v>
      </c>
      <c r="B30" s="1" t="s">
        <v>33</v>
      </c>
      <c r="C30" s="2">
        <v>2013</v>
      </c>
      <c r="D30" s="1" t="s">
        <v>43</v>
      </c>
      <c r="E30" s="2">
        <v>114</v>
      </c>
      <c r="G30"/>
    </row>
    <row r="31" spans="1:7" ht="26.5" hidden="1" thickBot="1" x14ac:dyDescent="0.4">
      <c r="A31">
        <v>30</v>
      </c>
      <c r="B31" s="1" t="s">
        <v>34</v>
      </c>
      <c r="C31" s="2">
        <v>2013</v>
      </c>
      <c r="D31" s="1" t="s">
        <v>43</v>
      </c>
      <c r="E31" s="2">
        <v>114.8</v>
      </c>
      <c r="G31"/>
    </row>
    <row r="32" spans="1:7" ht="26.5" hidden="1" thickBot="1" x14ac:dyDescent="0.4">
      <c r="A32">
        <v>31</v>
      </c>
      <c r="B32" s="1" t="s">
        <v>30</v>
      </c>
      <c r="C32" s="2">
        <v>2013</v>
      </c>
      <c r="D32" s="1" t="s">
        <v>44</v>
      </c>
      <c r="E32" s="2">
        <v>117.4</v>
      </c>
      <c r="G32"/>
    </row>
    <row r="33" spans="1:7" ht="26.5" hidden="1" thickBot="1" x14ac:dyDescent="0.4">
      <c r="A33">
        <v>32</v>
      </c>
      <c r="B33" s="1" t="s">
        <v>33</v>
      </c>
      <c r="C33" s="2">
        <v>2013</v>
      </c>
      <c r="D33" s="1" t="s">
        <v>44</v>
      </c>
      <c r="E33" s="2">
        <v>115</v>
      </c>
      <c r="G33"/>
    </row>
    <row r="34" spans="1:7" ht="26.5" hidden="1" thickBot="1" x14ac:dyDescent="0.4">
      <c r="A34">
        <v>33</v>
      </c>
      <c r="B34" s="1" t="s">
        <v>34</v>
      </c>
      <c r="C34" s="2">
        <v>2013</v>
      </c>
      <c r="D34" s="1" t="s">
        <v>44</v>
      </c>
      <c r="E34" s="2">
        <v>116.3</v>
      </c>
      <c r="G34"/>
    </row>
    <row r="35" spans="1:7" ht="26.5" hidden="1" thickBot="1" x14ac:dyDescent="0.4">
      <c r="A35">
        <v>34</v>
      </c>
      <c r="B35" s="1" t="s">
        <v>30</v>
      </c>
      <c r="C35" s="2">
        <v>2013</v>
      </c>
      <c r="D35" s="1" t="s">
        <v>45</v>
      </c>
      <c r="E35" s="2">
        <v>115.5</v>
      </c>
      <c r="G35"/>
    </row>
    <row r="36" spans="1:7" ht="26.5" hidden="1" thickBot="1" x14ac:dyDescent="0.4">
      <c r="A36">
        <v>35</v>
      </c>
      <c r="B36" s="1" t="s">
        <v>33</v>
      </c>
      <c r="C36" s="2">
        <v>2013</v>
      </c>
      <c r="D36" s="1" t="s">
        <v>45</v>
      </c>
      <c r="E36" s="2">
        <v>113.3</v>
      </c>
      <c r="G36"/>
    </row>
    <row r="37" spans="1:7" ht="26.5" hidden="1" thickBot="1" x14ac:dyDescent="0.4">
      <c r="A37">
        <v>36</v>
      </c>
      <c r="B37" s="1" t="s">
        <v>34</v>
      </c>
      <c r="C37" s="2">
        <v>2013</v>
      </c>
      <c r="D37" s="1" t="s">
        <v>45</v>
      </c>
      <c r="E37" s="2">
        <v>114.5</v>
      </c>
      <c r="G37"/>
    </row>
    <row r="38" spans="1:7" ht="15" hidden="1" thickBot="1" x14ac:dyDescent="0.4">
      <c r="A38">
        <v>37</v>
      </c>
      <c r="B38" s="1" t="s">
        <v>30</v>
      </c>
      <c r="C38" s="2">
        <v>2014</v>
      </c>
      <c r="D38" s="1" t="s">
        <v>31</v>
      </c>
      <c r="E38" s="2">
        <v>114.2</v>
      </c>
      <c r="G38"/>
    </row>
    <row r="39" spans="1:7" ht="15" hidden="1" thickBot="1" x14ac:dyDescent="0.4">
      <c r="A39">
        <v>38</v>
      </c>
      <c r="B39" s="1" t="s">
        <v>33</v>
      </c>
      <c r="C39" s="2">
        <v>2014</v>
      </c>
      <c r="D39" s="1" t="s">
        <v>31</v>
      </c>
      <c r="E39" s="2">
        <v>112.9</v>
      </c>
      <c r="G39"/>
    </row>
    <row r="40" spans="1:7" ht="26.5" hidden="1" thickBot="1" x14ac:dyDescent="0.4">
      <c r="A40">
        <v>39</v>
      </c>
      <c r="B40" s="1" t="s">
        <v>34</v>
      </c>
      <c r="C40" s="2">
        <v>2014</v>
      </c>
      <c r="D40" s="1" t="s">
        <v>31</v>
      </c>
      <c r="E40" s="2">
        <v>113.6</v>
      </c>
      <c r="G40"/>
    </row>
    <row r="41" spans="1:7" ht="15" hidden="1" thickBot="1" x14ac:dyDescent="0.4">
      <c r="A41">
        <v>40</v>
      </c>
      <c r="B41" s="1" t="s">
        <v>30</v>
      </c>
      <c r="C41" s="2">
        <v>2014</v>
      </c>
      <c r="D41" s="1" t="s">
        <v>35</v>
      </c>
      <c r="E41" s="2">
        <v>114</v>
      </c>
      <c r="G41"/>
    </row>
    <row r="42" spans="1:7" ht="15" hidden="1" thickBot="1" x14ac:dyDescent="0.4">
      <c r="A42">
        <v>41</v>
      </c>
      <c r="B42" s="1" t="s">
        <v>33</v>
      </c>
      <c r="C42" s="2">
        <v>2014</v>
      </c>
      <c r="D42" s="1" t="s">
        <v>35</v>
      </c>
      <c r="E42" s="2">
        <v>113.1</v>
      </c>
      <c r="G42"/>
    </row>
    <row r="43" spans="1:7" ht="26.5" hidden="1" thickBot="1" x14ac:dyDescent="0.4">
      <c r="A43">
        <v>42</v>
      </c>
      <c r="B43" s="1" t="s">
        <v>34</v>
      </c>
      <c r="C43" s="2">
        <v>2014</v>
      </c>
      <c r="D43" s="1" t="s">
        <v>35</v>
      </c>
      <c r="E43" s="2">
        <v>113.6</v>
      </c>
      <c r="G43"/>
    </row>
    <row r="44" spans="1:7" ht="15" hidden="1" thickBot="1" x14ac:dyDescent="0.4">
      <c r="A44">
        <v>43</v>
      </c>
      <c r="B44" s="1" t="s">
        <v>30</v>
      </c>
      <c r="C44" s="2">
        <v>2014</v>
      </c>
      <c r="D44" s="1" t="s">
        <v>36</v>
      </c>
      <c r="E44" s="2">
        <v>114.6</v>
      </c>
      <c r="G44"/>
    </row>
    <row r="45" spans="1:7" ht="15" hidden="1" thickBot="1" x14ac:dyDescent="0.4">
      <c r="A45">
        <v>44</v>
      </c>
      <c r="B45" s="1" t="s">
        <v>33</v>
      </c>
      <c r="C45" s="2">
        <v>2014</v>
      </c>
      <c r="D45" s="1" t="s">
        <v>36</v>
      </c>
      <c r="E45" s="2">
        <v>113.7</v>
      </c>
      <c r="G45"/>
    </row>
    <row r="46" spans="1:7" ht="26.5" hidden="1" thickBot="1" x14ac:dyDescent="0.4">
      <c r="A46">
        <v>45</v>
      </c>
      <c r="B46" s="1" t="s">
        <v>34</v>
      </c>
      <c r="C46" s="2">
        <v>2014</v>
      </c>
      <c r="D46" s="1" t="s">
        <v>36</v>
      </c>
      <c r="E46" s="2">
        <v>114.2</v>
      </c>
      <c r="G46"/>
    </row>
    <row r="47" spans="1:7" ht="15" hidden="1" thickBot="1" x14ac:dyDescent="0.4">
      <c r="A47">
        <v>46</v>
      </c>
      <c r="B47" s="1" t="s">
        <v>30</v>
      </c>
      <c r="C47" s="2">
        <v>2014</v>
      </c>
      <c r="D47" s="1" t="s">
        <v>37</v>
      </c>
      <c r="E47" s="2">
        <v>115.4</v>
      </c>
      <c r="G47"/>
    </row>
    <row r="48" spans="1:7" ht="15" hidden="1" thickBot="1" x14ac:dyDescent="0.4">
      <c r="A48">
        <v>47</v>
      </c>
      <c r="B48" s="1" t="s">
        <v>33</v>
      </c>
      <c r="C48" s="2">
        <v>2014</v>
      </c>
      <c r="D48" s="1" t="s">
        <v>37</v>
      </c>
      <c r="E48" s="2">
        <v>114.7</v>
      </c>
      <c r="G48"/>
    </row>
    <row r="49" spans="1:7" ht="26.5" hidden="1" thickBot="1" x14ac:dyDescent="0.4">
      <c r="A49">
        <v>48</v>
      </c>
      <c r="B49" s="1" t="s">
        <v>34</v>
      </c>
      <c r="C49" s="2">
        <v>2014</v>
      </c>
      <c r="D49" s="1" t="s">
        <v>37</v>
      </c>
      <c r="E49" s="2">
        <v>115.1</v>
      </c>
      <c r="G49"/>
    </row>
    <row r="50" spans="1:7" ht="15" hidden="1" thickBot="1" x14ac:dyDescent="0.4">
      <c r="A50">
        <v>49</v>
      </c>
      <c r="B50" s="1" t="s">
        <v>30</v>
      </c>
      <c r="C50" s="2">
        <v>2014</v>
      </c>
      <c r="D50" s="1" t="s">
        <v>38</v>
      </c>
      <c r="E50" s="2">
        <v>116</v>
      </c>
      <c r="G50"/>
    </row>
    <row r="51" spans="1:7" ht="15" hidden="1" thickBot="1" x14ac:dyDescent="0.4">
      <c r="A51">
        <v>50</v>
      </c>
      <c r="B51" s="1" t="s">
        <v>33</v>
      </c>
      <c r="C51" s="2">
        <v>2014</v>
      </c>
      <c r="D51" s="1" t="s">
        <v>38</v>
      </c>
      <c r="E51" s="2">
        <v>115.6</v>
      </c>
      <c r="G51"/>
    </row>
    <row r="52" spans="1:7" ht="26.5" hidden="1" thickBot="1" x14ac:dyDescent="0.4">
      <c r="A52">
        <v>51</v>
      </c>
      <c r="B52" s="1" t="s">
        <v>34</v>
      </c>
      <c r="C52" s="2">
        <v>2014</v>
      </c>
      <c r="D52" s="1" t="s">
        <v>38</v>
      </c>
      <c r="E52" s="2">
        <v>115.8</v>
      </c>
      <c r="G52"/>
    </row>
    <row r="53" spans="1:7" ht="15" hidden="1" thickBot="1" x14ac:dyDescent="0.4">
      <c r="A53">
        <v>52</v>
      </c>
      <c r="B53" s="1" t="s">
        <v>30</v>
      </c>
      <c r="C53" s="2">
        <v>2014</v>
      </c>
      <c r="D53" s="1" t="s">
        <v>39</v>
      </c>
      <c r="E53" s="2">
        <v>117</v>
      </c>
      <c r="G53"/>
    </row>
    <row r="54" spans="1:7" ht="15" hidden="1" thickBot="1" x14ac:dyDescent="0.4">
      <c r="A54">
        <v>53</v>
      </c>
      <c r="B54" s="1" t="s">
        <v>33</v>
      </c>
      <c r="C54" s="2">
        <v>2014</v>
      </c>
      <c r="D54" s="1" t="s">
        <v>39</v>
      </c>
      <c r="E54" s="2">
        <v>116.4</v>
      </c>
      <c r="G54"/>
    </row>
    <row r="55" spans="1:7" ht="26.5" hidden="1" thickBot="1" x14ac:dyDescent="0.4">
      <c r="A55">
        <v>54</v>
      </c>
      <c r="B55" s="1" t="s">
        <v>34</v>
      </c>
      <c r="C55" s="2">
        <v>2014</v>
      </c>
      <c r="D55" s="1" t="s">
        <v>39</v>
      </c>
      <c r="E55" s="2">
        <v>116.7</v>
      </c>
      <c r="G55"/>
    </row>
    <row r="56" spans="1:7" ht="15" hidden="1" thickBot="1" x14ac:dyDescent="0.4">
      <c r="A56">
        <v>55</v>
      </c>
      <c r="B56" s="1" t="s">
        <v>30</v>
      </c>
      <c r="C56" s="2">
        <v>2014</v>
      </c>
      <c r="D56" s="1" t="s">
        <v>40</v>
      </c>
      <c r="E56" s="2">
        <v>119.5</v>
      </c>
      <c r="G56"/>
    </row>
    <row r="57" spans="1:7" ht="15" hidden="1" thickBot="1" x14ac:dyDescent="0.4">
      <c r="A57">
        <v>56</v>
      </c>
      <c r="B57" s="1" t="s">
        <v>33</v>
      </c>
      <c r="C57" s="2">
        <v>2014</v>
      </c>
      <c r="D57" s="1" t="s">
        <v>40</v>
      </c>
      <c r="E57" s="2">
        <v>118.9</v>
      </c>
      <c r="G57"/>
    </row>
    <row r="58" spans="1:7" ht="26.5" hidden="1" thickBot="1" x14ac:dyDescent="0.4">
      <c r="A58">
        <v>57</v>
      </c>
      <c r="B58" s="1" t="s">
        <v>34</v>
      </c>
      <c r="C58" s="2">
        <v>2014</v>
      </c>
      <c r="D58" s="1" t="s">
        <v>40</v>
      </c>
      <c r="E58" s="2">
        <v>119.2</v>
      </c>
      <c r="G58"/>
    </row>
    <row r="59" spans="1:7" ht="15" hidden="1" thickBot="1" x14ac:dyDescent="0.4">
      <c r="A59">
        <v>58</v>
      </c>
      <c r="B59" s="1" t="s">
        <v>30</v>
      </c>
      <c r="C59" s="2">
        <v>2014</v>
      </c>
      <c r="D59" s="1" t="s">
        <v>41</v>
      </c>
      <c r="E59" s="2">
        <v>120.7</v>
      </c>
      <c r="G59"/>
    </row>
    <row r="60" spans="1:7" ht="15" hidden="1" thickBot="1" x14ac:dyDescent="0.4">
      <c r="A60">
        <v>59</v>
      </c>
      <c r="B60" s="1" t="s">
        <v>33</v>
      </c>
      <c r="C60" s="2">
        <v>2014</v>
      </c>
      <c r="D60" s="1" t="s">
        <v>41</v>
      </c>
      <c r="E60" s="2">
        <v>119.9</v>
      </c>
      <c r="G60"/>
    </row>
    <row r="61" spans="1:7" ht="26.5" hidden="1" thickBot="1" x14ac:dyDescent="0.4">
      <c r="A61">
        <v>60</v>
      </c>
      <c r="B61" s="1" t="s">
        <v>34</v>
      </c>
      <c r="C61" s="2">
        <v>2014</v>
      </c>
      <c r="D61" s="1" t="s">
        <v>41</v>
      </c>
      <c r="E61" s="2">
        <v>120.3</v>
      </c>
      <c r="G61"/>
    </row>
    <row r="62" spans="1:7" ht="26.5" hidden="1" thickBot="1" x14ac:dyDescent="0.4">
      <c r="A62">
        <v>61</v>
      </c>
      <c r="B62" s="1" t="s">
        <v>30</v>
      </c>
      <c r="C62" s="2">
        <v>2014</v>
      </c>
      <c r="D62" s="1" t="s">
        <v>42</v>
      </c>
      <c r="E62" s="2">
        <v>120.9</v>
      </c>
      <c r="G62"/>
    </row>
    <row r="63" spans="1:7" ht="26.5" hidden="1" thickBot="1" x14ac:dyDescent="0.4">
      <c r="A63">
        <v>62</v>
      </c>
      <c r="B63" s="1" t="s">
        <v>33</v>
      </c>
      <c r="C63" s="2">
        <v>2014</v>
      </c>
      <c r="D63" s="1" t="s">
        <v>42</v>
      </c>
      <c r="E63" s="2">
        <v>119.2</v>
      </c>
      <c r="G63"/>
    </row>
    <row r="64" spans="1:7" ht="26.5" hidden="1" thickBot="1" x14ac:dyDescent="0.4">
      <c r="A64">
        <v>63</v>
      </c>
      <c r="B64" s="1" t="s">
        <v>34</v>
      </c>
      <c r="C64" s="2">
        <v>2014</v>
      </c>
      <c r="D64" s="1" t="s">
        <v>42</v>
      </c>
      <c r="E64" s="2">
        <v>120.1</v>
      </c>
      <c r="G64"/>
    </row>
    <row r="65" spans="1:7" ht="15" hidden="1" thickBot="1" x14ac:dyDescent="0.4">
      <c r="A65">
        <v>64</v>
      </c>
      <c r="B65" s="1" t="s">
        <v>30</v>
      </c>
      <c r="C65" s="2">
        <v>2014</v>
      </c>
      <c r="D65" s="1" t="s">
        <v>43</v>
      </c>
      <c r="E65" s="2">
        <v>121</v>
      </c>
      <c r="G65"/>
    </row>
    <row r="66" spans="1:7" ht="15" hidden="1" thickBot="1" x14ac:dyDescent="0.4">
      <c r="A66">
        <v>65</v>
      </c>
      <c r="B66" s="1" t="s">
        <v>33</v>
      </c>
      <c r="C66" s="2">
        <v>2014</v>
      </c>
      <c r="D66" s="1" t="s">
        <v>43</v>
      </c>
      <c r="E66" s="2">
        <v>119.1</v>
      </c>
      <c r="G66"/>
    </row>
    <row r="67" spans="1:7" ht="26.5" hidden="1" thickBot="1" x14ac:dyDescent="0.4">
      <c r="A67">
        <v>66</v>
      </c>
      <c r="B67" s="1" t="s">
        <v>34</v>
      </c>
      <c r="C67" s="2">
        <v>2014</v>
      </c>
      <c r="D67" s="1" t="s">
        <v>43</v>
      </c>
      <c r="E67" s="2">
        <v>120.1</v>
      </c>
      <c r="G67"/>
    </row>
    <row r="68" spans="1:7" ht="26.5" hidden="1" thickBot="1" x14ac:dyDescent="0.4">
      <c r="A68">
        <v>67</v>
      </c>
      <c r="B68" s="1" t="s">
        <v>30</v>
      </c>
      <c r="C68" s="2">
        <v>2014</v>
      </c>
      <c r="D68" s="1" t="s">
        <v>44</v>
      </c>
      <c r="E68" s="2">
        <v>121.1</v>
      </c>
      <c r="G68"/>
    </row>
    <row r="69" spans="1:7" ht="26.5" hidden="1" thickBot="1" x14ac:dyDescent="0.4">
      <c r="A69">
        <v>68</v>
      </c>
      <c r="B69" s="1" t="s">
        <v>33</v>
      </c>
      <c r="C69" s="2">
        <v>2014</v>
      </c>
      <c r="D69" s="1" t="s">
        <v>44</v>
      </c>
      <c r="E69" s="2">
        <v>119</v>
      </c>
      <c r="G69"/>
    </row>
    <row r="70" spans="1:7" ht="26.5" hidden="1" thickBot="1" x14ac:dyDescent="0.4">
      <c r="A70">
        <v>69</v>
      </c>
      <c r="B70" s="1" t="s">
        <v>34</v>
      </c>
      <c r="C70" s="2">
        <v>2014</v>
      </c>
      <c r="D70" s="1" t="s">
        <v>44</v>
      </c>
      <c r="E70" s="2">
        <v>120.1</v>
      </c>
      <c r="G70"/>
    </row>
    <row r="71" spans="1:7" ht="26.5" hidden="1" thickBot="1" x14ac:dyDescent="0.4">
      <c r="A71">
        <v>70</v>
      </c>
      <c r="B71" s="1" t="s">
        <v>30</v>
      </c>
      <c r="C71" s="2">
        <v>2014</v>
      </c>
      <c r="D71" s="1" t="s">
        <v>45</v>
      </c>
      <c r="E71" s="2">
        <v>120.3</v>
      </c>
      <c r="G71"/>
    </row>
    <row r="72" spans="1:7" ht="26.5" hidden="1" thickBot="1" x14ac:dyDescent="0.4">
      <c r="A72">
        <v>71</v>
      </c>
      <c r="B72" s="1" t="s">
        <v>33</v>
      </c>
      <c r="C72" s="2">
        <v>2014</v>
      </c>
      <c r="D72" s="1" t="s">
        <v>45</v>
      </c>
      <c r="E72" s="2">
        <v>118.4</v>
      </c>
      <c r="G72"/>
    </row>
    <row r="73" spans="1:7" ht="26.5" hidden="1" thickBot="1" x14ac:dyDescent="0.4">
      <c r="A73">
        <v>72</v>
      </c>
      <c r="B73" s="1" t="s">
        <v>34</v>
      </c>
      <c r="C73" s="2">
        <v>2014</v>
      </c>
      <c r="D73" s="1" t="s">
        <v>45</v>
      </c>
      <c r="E73" s="2">
        <v>119.4</v>
      </c>
      <c r="G73"/>
    </row>
    <row r="74" spans="1:7" ht="15" hidden="1" thickBot="1" x14ac:dyDescent="0.4">
      <c r="A74">
        <v>73</v>
      </c>
      <c r="B74" s="1" t="s">
        <v>30</v>
      </c>
      <c r="C74" s="2">
        <v>2015</v>
      </c>
      <c r="D74" s="1" t="s">
        <v>31</v>
      </c>
      <c r="E74" s="2">
        <v>120.3</v>
      </c>
      <c r="G74"/>
    </row>
    <row r="75" spans="1:7" ht="15" hidden="1" thickBot="1" x14ac:dyDescent="0.4">
      <c r="A75">
        <v>74</v>
      </c>
      <c r="B75" s="1" t="s">
        <v>33</v>
      </c>
      <c r="C75" s="2">
        <v>2015</v>
      </c>
      <c r="D75" s="1" t="s">
        <v>31</v>
      </c>
      <c r="E75" s="2">
        <v>118.5</v>
      </c>
      <c r="G75"/>
    </row>
    <row r="76" spans="1:7" ht="26.5" hidden="1" thickBot="1" x14ac:dyDescent="0.4">
      <c r="A76">
        <v>75</v>
      </c>
      <c r="B76" s="1" t="s">
        <v>34</v>
      </c>
      <c r="C76" s="2">
        <v>2015</v>
      </c>
      <c r="D76" s="1" t="s">
        <v>31</v>
      </c>
      <c r="E76" s="2">
        <v>119.5</v>
      </c>
      <c r="G76"/>
    </row>
    <row r="77" spans="1:7" ht="15" hidden="1" thickBot="1" x14ac:dyDescent="0.4">
      <c r="A77">
        <v>76</v>
      </c>
      <c r="B77" s="1" t="s">
        <v>30</v>
      </c>
      <c r="C77" s="2">
        <v>2015</v>
      </c>
      <c r="D77" s="1" t="s">
        <v>35</v>
      </c>
      <c r="E77" s="2">
        <v>120.6</v>
      </c>
      <c r="G77"/>
    </row>
    <row r="78" spans="1:7" ht="15" hidden="1" thickBot="1" x14ac:dyDescent="0.4">
      <c r="A78">
        <v>77</v>
      </c>
      <c r="B78" s="1" t="s">
        <v>33</v>
      </c>
      <c r="C78" s="2">
        <v>2015</v>
      </c>
      <c r="D78" s="1" t="s">
        <v>35</v>
      </c>
      <c r="E78" s="2">
        <v>118.7</v>
      </c>
      <c r="G78"/>
    </row>
    <row r="79" spans="1:7" ht="26.5" hidden="1" thickBot="1" x14ac:dyDescent="0.4">
      <c r="A79">
        <v>78</v>
      </c>
      <c r="B79" s="1" t="s">
        <v>34</v>
      </c>
      <c r="C79" s="2">
        <v>2015</v>
      </c>
      <c r="D79" s="1" t="s">
        <v>35</v>
      </c>
      <c r="E79" s="2">
        <v>119.7</v>
      </c>
      <c r="G79"/>
    </row>
    <row r="80" spans="1:7" ht="15" hidden="1" thickBot="1" x14ac:dyDescent="0.4">
      <c r="A80">
        <v>79</v>
      </c>
      <c r="B80" s="1" t="s">
        <v>30</v>
      </c>
      <c r="C80" s="2">
        <v>2015</v>
      </c>
      <c r="D80" s="1" t="s">
        <v>36</v>
      </c>
      <c r="E80" s="2">
        <v>121.1</v>
      </c>
      <c r="G80"/>
    </row>
    <row r="81" spans="1:7" ht="15" hidden="1" thickBot="1" x14ac:dyDescent="0.4">
      <c r="A81">
        <v>80</v>
      </c>
      <c r="B81" s="1" t="s">
        <v>33</v>
      </c>
      <c r="C81" s="2">
        <v>2015</v>
      </c>
      <c r="D81" s="1" t="s">
        <v>36</v>
      </c>
      <c r="E81" s="2">
        <v>119.1</v>
      </c>
      <c r="G81"/>
    </row>
    <row r="82" spans="1:7" ht="26.5" hidden="1" thickBot="1" x14ac:dyDescent="0.4">
      <c r="A82">
        <v>81</v>
      </c>
      <c r="B82" s="1" t="s">
        <v>34</v>
      </c>
      <c r="C82" s="2">
        <v>2015</v>
      </c>
      <c r="D82" s="1" t="s">
        <v>36</v>
      </c>
      <c r="E82" s="2">
        <v>120.2</v>
      </c>
      <c r="G82"/>
    </row>
    <row r="83" spans="1:7" ht="15" hidden="1" thickBot="1" x14ac:dyDescent="0.4">
      <c r="A83">
        <v>82</v>
      </c>
      <c r="B83" s="1" t="s">
        <v>30</v>
      </c>
      <c r="C83" s="2">
        <v>2015</v>
      </c>
      <c r="D83" s="1" t="s">
        <v>37</v>
      </c>
      <c r="E83" s="2">
        <v>121.5</v>
      </c>
      <c r="G83"/>
    </row>
    <row r="84" spans="1:7" ht="15" hidden="1" thickBot="1" x14ac:dyDescent="0.4">
      <c r="A84">
        <v>83</v>
      </c>
      <c r="B84" s="1" t="s">
        <v>33</v>
      </c>
      <c r="C84" s="2">
        <v>2015</v>
      </c>
      <c r="D84" s="1" t="s">
        <v>37</v>
      </c>
      <c r="E84" s="2">
        <v>119.7</v>
      </c>
      <c r="G84"/>
    </row>
    <row r="85" spans="1:7" ht="26.5" hidden="1" thickBot="1" x14ac:dyDescent="0.4">
      <c r="A85">
        <v>84</v>
      </c>
      <c r="B85" s="1" t="s">
        <v>34</v>
      </c>
      <c r="C85" s="2">
        <v>2015</v>
      </c>
      <c r="D85" s="1" t="s">
        <v>37</v>
      </c>
      <c r="E85" s="2">
        <v>120.7</v>
      </c>
      <c r="G85"/>
    </row>
    <row r="86" spans="1:7" ht="15" hidden="1" thickBot="1" x14ac:dyDescent="0.4">
      <c r="A86">
        <v>85</v>
      </c>
      <c r="B86" s="1" t="s">
        <v>30</v>
      </c>
      <c r="C86" s="2">
        <v>2015</v>
      </c>
      <c r="D86" s="1" t="s">
        <v>38</v>
      </c>
      <c r="E86" s="2">
        <v>122.4</v>
      </c>
      <c r="G86"/>
    </row>
    <row r="87" spans="1:7" ht="15" hidden="1" thickBot="1" x14ac:dyDescent="0.4">
      <c r="A87">
        <v>86</v>
      </c>
      <c r="B87" s="1" t="s">
        <v>33</v>
      </c>
      <c r="C87" s="2">
        <v>2015</v>
      </c>
      <c r="D87" s="1" t="s">
        <v>38</v>
      </c>
      <c r="E87" s="2">
        <v>120.7</v>
      </c>
      <c r="G87"/>
    </row>
    <row r="88" spans="1:7" ht="26.5" hidden="1" thickBot="1" x14ac:dyDescent="0.4">
      <c r="A88">
        <v>87</v>
      </c>
      <c r="B88" s="1" t="s">
        <v>34</v>
      </c>
      <c r="C88" s="2">
        <v>2015</v>
      </c>
      <c r="D88" s="1" t="s">
        <v>38</v>
      </c>
      <c r="E88" s="2">
        <v>121.6</v>
      </c>
      <c r="G88"/>
    </row>
    <row r="89" spans="1:7" ht="15" hidden="1" thickBot="1" x14ac:dyDescent="0.4">
      <c r="A89">
        <v>88</v>
      </c>
      <c r="B89" s="1" t="s">
        <v>30</v>
      </c>
      <c r="C89" s="2">
        <v>2015</v>
      </c>
      <c r="D89" s="1" t="s">
        <v>39</v>
      </c>
      <c r="E89" s="2">
        <v>124.1</v>
      </c>
      <c r="G89"/>
    </row>
    <row r="90" spans="1:7" ht="15" hidden="1" thickBot="1" x14ac:dyDescent="0.4">
      <c r="A90">
        <v>89</v>
      </c>
      <c r="B90" s="1" t="s">
        <v>33</v>
      </c>
      <c r="C90" s="2">
        <v>2015</v>
      </c>
      <c r="D90" s="1" t="s">
        <v>39</v>
      </c>
      <c r="E90" s="2">
        <v>121.7</v>
      </c>
      <c r="G90"/>
    </row>
    <row r="91" spans="1:7" ht="26.5" hidden="1" thickBot="1" x14ac:dyDescent="0.4">
      <c r="A91">
        <v>90</v>
      </c>
      <c r="B91" s="1" t="s">
        <v>34</v>
      </c>
      <c r="C91" s="2">
        <v>2015</v>
      </c>
      <c r="D91" s="1" t="s">
        <v>39</v>
      </c>
      <c r="E91" s="2">
        <v>123</v>
      </c>
      <c r="G91"/>
    </row>
    <row r="92" spans="1:7" ht="15" hidden="1" thickBot="1" x14ac:dyDescent="0.4">
      <c r="A92">
        <v>91</v>
      </c>
      <c r="B92" s="1" t="s">
        <v>30</v>
      </c>
      <c r="C92" s="2">
        <v>2015</v>
      </c>
      <c r="D92" s="1" t="s">
        <v>40</v>
      </c>
      <c r="E92" s="2">
        <v>124.7</v>
      </c>
      <c r="G92"/>
    </row>
    <row r="93" spans="1:7" ht="15" hidden="1" thickBot="1" x14ac:dyDescent="0.4">
      <c r="A93">
        <v>92</v>
      </c>
      <c r="B93" s="1" t="s">
        <v>33</v>
      </c>
      <c r="C93" s="2">
        <v>2015</v>
      </c>
      <c r="D93" s="1" t="s">
        <v>40</v>
      </c>
      <c r="E93" s="2">
        <v>122.4</v>
      </c>
      <c r="G93"/>
    </row>
    <row r="94" spans="1:7" ht="26.5" hidden="1" thickBot="1" x14ac:dyDescent="0.4">
      <c r="A94">
        <v>93</v>
      </c>
      <c r="B94" s="1" t="s">
        <v>34</v>
      </c>
      <c r="C94" s="2">
        <v>2015</v>
      </c>
      <c r="D94" s="1" t="s">
        <v>40</v>
      </c>
      <c r="E94" s="2">
        <v>123.6</v>
      </c>
      <c r="G94"/>
    </row>
    <row r="95" spans="1:7" ht="15" hidden="1" thickBot="1" x14ac:dyDescent="0.4">
      <c r="A95">
        <v>94</v>
      </c>
      <c r="B95" s="1" t="s">
        <v>30</v>
      </c>
      <c r="C95" s="2">
        <v>2015</v>
      </c>
      <c r="D95" s="1" t="s">
        <v>41</v>
      </c>
      <c r="E95" s="2">
        <v>126.1</v>
      </c>
      <c r="G95"/>
    </row>
    <row r="96" spans="1:7" ht="15" hidden="1" thickBot="1" x14ac:dyDescent="0.4">
      <c r="A96">
        <v>95</v>
      </c>
      <c r="B96" s="1" t="s">
        <v>33</v>
      </c>
      <c r="C96" s="2">
        <v>2015</v>
      </c>
      <c r="D96" s="1" t="s">
        <v>41</v>
      </c>
      <c r="E96" s="2">
        <v>123.2</v>
      </c>
      <c r="G96"/>
    </row>
    <row r="97" spans="1:7" ht="26.5" hidden="1" thickBot="1" x14ac:dyDescent="0.4">
      <c r="A97">
        <v>96</v>
      </c>
      <c r="B97" s="1" t="s">
        <v>34</v>
      </c>
      <c r="C97" s="2">
        <v>2015</v>
      </c>
      <c r="D97" s="1" t="s">
        <v>41</v>
      </c>
      <c r="E97" s="2">
        <v>124.8</v>
      </c>
      <c r="G97"/>
    </row>
    <row r="98" spans="1:7" ht="26.5" hidden="1" thickBot="1" x14ac:dyDescent="0.4">
      <c r="A98">
        <v>97</v>
      </c>
      <c r="B98" s="1" t="s">
        <v>30</v>
      </c>
      <c r="C98" s="2">
        <v>2015</v>
      </c>
      <c r="D98" s="1" t="s">
        <v>42</v>
      </c>
      <c r="E98" s="2">
        <v>127</v>
      </c>
      <c r="G98"/>
    </row>
    <row r="99" spans="1:7" ht="26.5" hidden="1" thickBot="1" x14ac:dyDescent="0.4">
      <c r="A99">
        <v>98</v>
      </c>
      <c r="B99" s="1" t="s">
        <v>33</v>
      </c>
      <c r="C99" s="2">
        <v>2015</v>
      </c>
      <c r="D99" s="1" t="s">
        <v>42</v>
      </c>
      <c r="E99" s="2">
        <v>123.5</v>
      </c>
      <c r="G99"/>
    </row>
    <row r="100" spans="1:7" ht="26.5" hidden="1" thickBot="1" x14ac:dyDescent="0.4">
      <c r="A100">
        <v>99</v>
      </c>
      <c r="B100" s="1" t="s">
        <v>34</v>
      </c>
      <c r="C100" s="2">
        <v>2015</v>
      </c>
      <c r="D100" s="1" t="s">
        <v>42</v>
      </c>
      <c r="E100" s="2">
        <v>125.4</v>
      </c>
      <c r="G100"/>
    </row>
    <row r="101" spans="1:7" ht="15" hidden="1" thickBot="1" x14ac:dyDescent="0.4">
      <c r="A101">
        <v>100</v>
      </c>
      <c r="B101" s="1" t="s">
        <v>30</v>
      </c>
      <c r="C101" s="2">
        <v>2015</v>
      </c>
      <c r="D101" s="1" t="s">
        <v>43</v>
      </c>
      <c r="E101" s="2">
        <v>127.7</v>
      </c>
      <c r="G101"/>
    </row>
    <row r="102" spans="1:7" ht="15" hidden="1" thickBot="1" x14ac:dyDescent="0.4">
      <c r="A102">
        <v>101</v>
      </c>
      <c r="B102" s="1" t="s">
        <v>33</v>
      </c>
      <c r="C102" s="2">
        <v>2015</v>
      </c>
      <c r="D102" s="1" t="s">
        <v>43</v>
      </c>
      <c r="E102" s="2">
        <v>124.2</v>
      </c>
      <c r="G102"/>
    </row>
    <row r="103" spans="1:7" ht="26.5" hidden="1" thickBot="1" x14ac:dyDescent="0.4">
      <c r="A103">
        <v>102</v>
      </c>
      <c r="B103" s="1" t="s">
        <v>34</v>
      </c>
      <c r="C103" s="2">
        <v>2015</v>
      </c>
      <c r="D103" s="1" t="s">
        <v>43</v>
      </c>
      <c r="E103" s="2">
        <v>126.1</v>
      </c>
      <c r="G103"/>
    </row>
    <row r="104" spans="1:7" ht="26.5" hidden="1" thickBot="1" x14ac:dyDescent="0.4">
      <c r="A104">
        <v>103</v>
      </c>
      <c r="B104" s="1" t="s">
        <v>30</v>
      </c>
      <c r="C104" s="2">
        <v>2015</v>
      </c>
      <c r="D104" s="1" t="s">
        <v>44</v>
      </c>
      <c r="E104" s="2">
        <v>128.30000000000001</v>
      </c>
      <c r="G104"/>
    </row>
    <row r="105" spans="1:7" ht="26.5" hidden="1" thickBot="1" x14ac:dyDescent="0.4">
      <c r="A105">
        <v>104</v>
      </c>
      <c r="B105" s="1" t="s">
        <v>33</v>
      </c>
      <c r="C105" s="2">
        <v>2015</v>
      </c>
      <c r="D105" s="1" t="s">
        <v>44</v>
      </c>
      <c r="E105" s="2">
        <v>124.6</v>
      </c>
      <c r="G105"/>
    </row>
    <row r="106" spans="1:7" ht="26.5" hidden="1" thickBot="1" x14ac:dyDescent="0.4">
      <c r="A106">
        <v>105</v>
      </c>
      <c r="B106" s="1" t="s">
        <v>34</v>
      </c>
      <c r="C106" s="2">
        <v>2015</v>
      </c>
      <c r="D106" s="1" t="s">
        <v>44</v>
      </c>
      <c r="E106" s="2">
        <v>126.6</v>
      </c>
      <c r="G106"/>
    </row>
    <row r="107" spans="1:7" ht="26.5" hidden="1" thickBot="1" x14ac:dyDescent="0.4">
      <c r="A107">
        <v>106</v>
      </c>
      <c r="B107" s="1" t="s">
        <v>30</v>
      </c>
      <c r="C107" s="2">
        <v>2015</v>
      </c>
      <c r="D107" s="1" t="s">
        <v>45</v>
      </c>
      <c r="E107" s="2">
        <v>127.9</v>
      </c>
      <c r="G107"/>
    </row>
    <row r="108" spans="1:7" ht="26.5" hidden="1" thickBot="1" x14ac:dyDescent="0.4">
      <c r="A108">
        <v>107</v>
      </c>
      <c r="B108" s="1" t="s">
        <v>33</v>
      </c>
      <c r="C108" s="2">
        <v>2015</v>
      </c>
      <c r="D108" s="1" t="s">
        <v>45</v>
      </c>
      <c r="E108" s="2">
        <v>124</v>
      </c>
      <c r="G108"/>
    </row>
    <row r="109" spans="1:7" ht="26.5" hidden="1" thickBot="1" x14ac:dyDescent="0.4">
      <c r="A109">
        <v>108</v>
      </c>
      <c r="B109" s="1" t="s">
        <v>34</v>
      </c>
      <c r="C109" s="2">
        <v>2015</v>
      </c>
      <c r="D109" s="1" t="s">
        <v>45</v>
      </c>
      <c r="E109" s="2">
        <v>126.1</v>
      </c>
      <c r="G109"/>
    </row>
    <row r="110" spans="1:7" ht="15" hidden="1" thickBot="1" x14ac:dyDescent="0.4">
      <c r="A110">
        <v>109</v>
      </c>
      <c r="B110" s="1" t="s">
        <v>30</v>
      </c>
      <c r="C110" s="2">
        <v>2016</v>
      </c>
      <c r="D110" s="1" t="s">
        <v>31</v>
      </c>
      <c r="E110" s="2">
        <v>128.1</v>
      </c>
      <c r="G110"/>
    </row>
    <row r="111" spans="1:7" ht="15" hidden="1" thickBot="1" x14ac:dyDescent="0.4">
      <c r="A111">
        <v>110</v>
      </c>
      <c r="B111" s="1" t="s">
        <v>33</v>
      </c>
      <c r="C111" s="2">
        <v>2016</v>
      </c>
      <c r="D111" s="1" t="s">
        <v>31</v>
      </c>
      <c r="E111" s="2">
        <v>124.2</v>
      </c>
      <c r="G111"/>
    </row>
    <row r="112" spans="1:7" ht="26.5" hidden="1" thickBot="1" x14ac:dyDescent="0.4">
      <c r="A112">
        <v>111</v>
      </c>
      <c r="B112" s="1" t="s">
        <v>34</v>
      </c>
      <c r="C112" s="2">
        <v>2016</v>
      </c>
      <c r="D112" s="1" t="s">
        <v>31</v>
      </c>
      <c r="E112" s="2">
        <v>126.3</v>
      </c>
      <c r="G112"/>
    </row>
    <row r="113" spans="1:7" ht="15" hidden="1" thickBot="1" x14ac:dyDescent="0.4">
      <c r="A113">
        <v>112</v>
      </c>
      <c r="B113" s="1" t="s">
        <v>30</v>
      </c>
      <c r="C113" s="2">
        <v>2016</v>
      </c>
      <c r="D113" s="1" t="s">
        <v>35</v>
      </c>
      <c r="E113" s="2">
        <v>127.9</v>
      </c>
      <c r="G113"/>
    </row>
    <row r="114" spans="1:7" ht="15" hidden="1" thickBot="1" x14ac:dyDescent="0.4">
      <c r="A114">
        <v>113</v>
      </c>
      <c r="B114" s="1" t="s">
        <v>33</v>
      </c>
      <c r="C114" s="2">
        <v>2016</v>
      </c>
      <c r="D114" s="1" t="s">
        <v>35</v>
      </c>
      <c r="E114" s="2">
        <v>123.8</v>
      </c>
      <c r="G114"/>
    </row>
    <row r="115" spans="1:7" ht="26.5" hidden="1" thickBot="1" x14ac:dyDescent="0.4">
      <c r="A115">
        <v>114</v>
      </c>
      <c r="B115" s="1" t="s">
        <v>34</v>
      </c>
      <c r="C115" s="2">
        <v>2016</v>
      </c>
      <c r="D115" s="1" t="s">
        <v>35</v>
      </c>
      <c r="E115" s="2">
        <v>126</v>
      </c>
      <c r="G115"/>
    </row>
    <row r="116" spans="1:7" ht="15" hidden="1" thickBot="1" x14ac:dyDescent="0.4">
      <c r="A116">
        <v>115</v>
      </c>
      <c r="B116" s="1" t="s">
        <v>30</v>
      </c>
      <c r="C116" s="2">
        <v>2016</v>
      </c>
      <c r="D116" s="1" t="s">
        <v>36</v>
      </c>
      <c r="E116" s="2">
        <v>128</v>
      </c>
      <c r="G116"/>
    </row>
    <row r="117" spans="1:7" ht="15" hidden="1" thickBot="1" x14ac:dyDescent="0.4">
      <c r="A117">
        <v>116</v>
      </c>
      <c r="B117" s="1" t="s">
        <v>33</v>
      </c>
      <c r="C117" s="2">
        <v>2016</v>
      </c>
      <c r="D117" s="1" t="s">
        <v>36</v>
      </c>
      <c r="E117" s="2">
        <v>123.8</v>
      </c>
      <c r="G117"/>
    </row>
    <row r="118" spans="1:7" ht="26.5" hidden="1" thickBot="1" x14ac:dyDescent="0.4">
      <c r="A118">
        <v>117</v>
      </c>
      <c r="B118" s="1" t="s">
        <v>34</v>
      </c>
      <c r="C118" s="2">
        <v>2016</v>
      </c>
      <c r="D118" s="1" t="s">
        <v>36</v>
      </c>
      <c r="E118" s="2">
        <v>126</v>
      </c>
      <c r="G118"/>
    </row>
    <row r="119" spans="1:7" ht="15" hidden="1" thickBot="1" x14ac:dyDescent="0.4">
      <c r="A119">
        <v>118</v>
      </c>
      <c r="B119" s="1" t="s">
        <v>30</v>
      </c>
      <c r="C119" s="2">
        <v>2016</v>
      </c>
      <c r="D119" s="1" t="s">
        <v>37</v>
      </c>
      <c r="E119" s="2">
        <v>129</v>
      </c>
      <c r="G119"/>
    </row>
    <row r="120" spans="1:7" ht="15" hidden="1" thickBot="1" x14ac:dyDescent="0.4">
      <c r="A120">
        <v>119</v>
      </c>
      <c r="B120" s="1" t="s">
        <v>33</v>
      </c>
      <c r="C120" s="2">
        <v>2016</v>
      </c>
      <c r="D120" s="1" t="s">
        <v>37</v>
      </c>
      <c r="E120" s="2">
        <v>125.3</v>
      </c>
      <c r="G120"/>
    </row>
    <row r="121" spans="1:7" ht="26.5" hidden="1" thickBot="1" x14ac:dyDescent="0.4">
      <c r="A121">
        <v>120</v>
      </c>
      <c r="B121" s="1" t="s">
        <v>34</v>
      </c>
      <c r="C121" s="2">
        <v>2016</v>
      </c>
      <c r="D121" s="1" t="s">
        <v>37</v>
      </c>
      <c r="E121" s="2">
        <v>127.3</v>
      </c>
      <c r="G121"/>
    </row>
    <row r="122" spans="1:7" ht="15" hidden="1" thickBot="1" x14ac:dyDescent="0.4">
      <c r="A122">
        <v>121</v>
      </c>
      <c r="B122" s="1" t="s">
        <v>30</v>
      </c>
      <c r="C122" s="2">
        <v>2016</v>
      </c>
      <c r="D122" s="1" t="s">
        <v>38</v>
      </c>
      <c r="E122" s="2">
        <v>130.30000000000001</v>
      </c>
      <c r="G122"/>
    </row>
    <row r="123" spans="1:7" ht="15" hidden="1" thickBot="1" x14ac:dyDescent="0.4">
      <c r="A123">
        <v>122</v>
      </c>
      <c r="B123" s="1" t="s">
        <v>33</v>
      </c>
      <c r="C123" s="2">
        <v>2016</v>
      </c>
      <c r="D123" s="1" t="s">
        <v>38</v>
      </c>
      <c r="E123" s="2">
        <v>126.6</v>
      </c>
      <c r="G123"/>
    </row>
    <row r="124" spans="1:7" ht="26.5" hidden="1" thickBot="1" x14ac:dyDescent="0.4">
      <c r="A124">
        <v>123</v>
      </c>
      <c r="B124" s="1" t="s">
        <v>34</v>
      </c>
      <c r="C124" s="2">
        <v>2016</v>
      </c>
      <c r="D124" s="1" t="s">
        <v>38</v>
      </c>
      <c r="E124" s="2">
        <v>128.6</v>
      </c>
      <c r="G124"/>
    </row>
    <row r="125" spans="1:7" ht="15" hidden="1" thickBot="1" x14ac:dyDescent="0.4">
      <c r="A125">
        <v>124</v>
      </c>
      <c r="B125" s="1" t="s">
        <v>30</v>
      </c>
      <c r="C125" s="2">
        <v>2016</v>
      </c>
      <c r="D125" s="1" t="s">
        <v>39</v>
      </c>
      <c r="E125" s="2">
        <v>131.9</v>
      </c>
      <c r="G125"/>
    </row>
    <row r="126" spans="1:7" ht="15" hidden="1" thickBot="1" x14ac:dyDescent="0.4">
      <c r="A126">
        <v>125</v>
      </c>
      <c r="B126" s="1" t="s">
        <v>33</v>
      </c>
      <c r="C126" s="2">
        <v>2016</v>
      </c>
      <c r="D126" s="1" t="s">
        <v>39</v>
      </c>
      <c r="E126" s="2">
        <v>128.1</v>
      </c>
      <c r="G126"/>
    </row>
    <row r="127" spans="1:7" ht="26.5" hidden="1" thickBot="1" x14ac:dyDescent="0.4">
      <c r="A127">
        <v>126</v>
      </c>
      <c r="B127" s="1" t="s">
        <v>34</v>
      </c>
      <c r="C127" s="2">
        <v>2016</v>
      </c>
      <c r="D127" s="1" t="s">
        <v>39</v>
      </c>
      <c r="E127" s="2">
        <v>130.1</v>
      </c>
      <c r="G127"/>
    </row>
    <row r="128" spans="1:7" ht="15" hidden="1" thickBot="1" x14ac:dyDescent="0.4">
      <c r="A128">
        <v>127</v>
      </c>
      <c r="B128" s="1" t="s">
        <v>30</v>
      </c>
      <c r="C128" s="2">
        <v>2016</v>
      </c>
      <c r="D128" s="1" t="s">
        <v>40</v>
      </c>
      <c r="E128" s="2">
        <v>133</v>
      </c>
      <c r="G128"/>
    </row>
    <row r="129" spans="1:7" ht="15" hidden="1" thickBot="1" x14ac:dyDescent="0.4">
      <c r="A129">
        <v>128</v>
      </c>
      <c r="B129" s="1" t="s">
        <v>33</v>
      </c>
      <c r="C129" s="2">
        <v>2016</v>
      </c>
      <c r="D129" s="1" t="s">
        <v>40</v>
      </c>
      <c r="E129" s="2">
        <v>129</v>
      </c>
      <c r="G129"/>
    </row>
    <row r="130" spans="1:7" ht="26.5" hidden="1" thickBot="1" x14ac:dyDescent="0.4">
      <c r="A130">
        <v>129</v>
      </c>
      <c r="B130" s="1" t="s">
        <v>34</v>
      </c>
      <c r="C130" s="2">
        <v>2016</v>
      </c>
      <c r="D130" s="1" t="s">
        <v>40</v>
      </c>
      <c r="E130" s="2">
        <v>131.1</v>
      </c>
      <c r="G130"/>
    </row>
    <row r="131" spans="1:7" ht="15" hidden="1" thickBot="1" x14ac:dyDescent="0.4">
      <c r="A131">
        <v>130</v>
      </c>
      <c r="B131" s="1" t="s">
        <v>30</v>
      </c>
      <c r="C131" s="2">
        <v>2016</v>
      </c>
      <c r="D131" s="1" t="s">
        <v>41</v>
      </c>
      <c r="E131" s="2">
        <v>133.5</v>
      </c>
      <c r="G131"/>
    </row>
    <row r="132" spans="1:7" ht="15" hidden="1" thickBot="1" x14ac:dyDescent="0.4">
      <c r="A132">
        <v>131</v>
      </c>
      <c r="B132" s="1" t="s">
        <v>33</v>
      </c>
      <c r="C132" s="2">
        <v>2016</v>
      </c>
      <c r="D132" s="1" t="s">
        <v>41</v>
      </c>
      <c r="E132" s="2">
        <v>128.4</v>
      </c>
      <c r="G132"/>
    </row>
    <row r="133" spans="1:7" ht="26.5" hidden="1" thickBot="1" x14ac:dyDescent="0.4">
      <c r="A133">
        <v>132</v>
      </c>
      <c r="B133" s="1" t="s">
        <v>34</v>
      </c>
      <c r="C133" s="2">
        <v>2016</v>
      </c>
      <c r="D133" s="1" t="s">
        <v>41</v>
      </c>
      <c r="E133" s="2">
        <v>131.1</v>
      </c>
      <c r="G133"/>
    </row>
    <row r="134" spans="1:7" ht="26.5" hidden="1" thickBot="1" x14ac:dyDescent="0.4">
      <c r="A134">
        <v>133</v>
      </c>
      <c r="B134" s="1" t="s">
        <v>30</v>
      </c>
      <c r="C134" s="2">
        <v>2016</v>
      </c>
      <c r="D134" s="1" t="s">
        <v>42</v>
      </c>
      <c r="E134" s="2">
        <v>133.4</v>
      </c>
      <c r="G134"/>
    </row>
    <row r="135" spans="1:7" ht="26.5" hidden="1" thickBot="1" x14ac:dyDescent="0.4">
      <c r="A135">
        <v>134</v>
      </c>
      <c r="B135" s="1" t="s">
        <v>33</v>
      </c>
      <c r="C135" s="2">
        <v>2016</v>
      </c>
      <c r="D135" s="1" t="s">
        <v>42</v>
      </c>
      <c r="E135" s="2">
        <v>128</v>
      </c>
      <c r="G135"/>
    </row>
    <row r="136" spans="1:7" ht="26.5" hidden="1" thickBot="1" x14ac:dyDescent="0.4">
      <c r="A136">
        <v>135</v>
      </c>
      <c r="B136" s="1" t="s">
        <v>34</v>
      </c>
      <c r="C136" s="2">
        <v>2016</v>
      </c>
      <c r="D136" s="1" t="s">
        <v>42</v>
      </c>
      <c r="E136" s="2">
        <v>130.9</v>
      </c>
      <c r="G136"/>
    </row>
    <row r="137" spans="1:7" ht="15" hidden="1" thickBot="1" x14ac:dyDescent="0.4">
      <c r="A137">
        <v>136</v>
      </c>
      <c r="B137" s="1" t="s">
        <v>30</v>
      </c>
      <c r="C137" s="2">
        <v>2016</v>
      </c>
      <c r="D137" s="1" t="s">
        <v>43</v>
      </c>
      <c r="E137" s="2">
        <v>133.80000000000001</v>
      </c>
      <c r="G137"/>
    </row>
    <row r="138" spans="1:7" ht="15" hidden="1" thickBot="1" x14ac:dyDescent="0.4">
      <c r="A138">
        <v>137</v>
      </c>
      <c r="B138" s="1" t="s">
        <v>33</v>
      </c>
      <c r="C138" s="2">
        <v>2016</v>
      </c>
      <c r="D138" s="1" t="s">
        <v>43</v>
      </c>
      <c r="E138" s="2">
        <v>128.6</v>
      </c>
      <c r="G138"/>
    </row>
    <row r="139" spans="1:7" ht="26.5" hidden="1" thickBot="1" x14ac:dyDescent="0.4">
      <c r="A139">
        <v>138</v>
      </c>
      <c r="B139" s="1" t="s">
        <v>34</v>
      </c>
      <c r="C139" s="2">
        <v>2016</v>
      </c>
      <c r="D139" s="1" t="s">
        <v>43</v>
      </c>
      <c r="E139" s="2">
        <v>131.4</v>
      </c>
      <c r="G139"/>
    </row>
    <row r="140" spans="1:7" ht="26.5" hidden="1" thickBot="1" x14ac:dyDescent="0.4">
      <c r="A140">
        <v>139</v>
      </c>
      <c r="B140" s="1" t="s">
        <v>30</v>
      </c>
      <c r="C140" s="2">
        <v>2016</v>
      </c>
      <c r="D140" s="1" t="s">
        <v>44</v>
      </c>
      <c r="E140" s="2">
        <v>133.6</v>
      </c>
      <c r="G140"/>
    </row>
    <row r="141" spans="1:7" ht="26.5" hidden="1" thickBot="1" x14ac:dyDescent="0.4">
      <c r="A141">
        <v>140</v>
      </c>
      <c r="B141" s="1" t="s">
        <v>33</v>
      </c>
      <c r="C141" s="2">
        <v>2016</v>
      </c>
      <c r="D141" s="1" t="s">
        <v>44</v>
      </c>
      <c r="E141" s="2">
        <v>128.5</v>
      </c>
      <c r="G141"/>
    </row>
    <row r="142" spans="1:7" ht="26.5" hidden="1" thickBot="1" x14ac:dyDescent="0.4">
      <c r="A142">
        <v>141</v>
      </c>
      <c r="B142" s="1" t="s">
        <v>34</v>
      </c>
      <c r="C142" s="2">
        <v>2016</v>
      </c>
      <c r="D142" s="1" t="s">
        <v>44</v>
      </c>
      <c r="E142" s="2">
        <v>131.19999999999999</v>
      </c>
      <c r="G142"/>
    </row>
    <row r="143" spans="1:7" ht="26.5" hidden="1" thickBot="1" x14ac:dyDescent="0.4">
      <c r="A143">
        <v>142</v>
      </c>
      <c r="B143" s="1" t="s">
        <v>30</v>
      </c>
      <c r="C143" s="2">
        <v>2016</v>
      </c>
      <c r="D143" s="1" t="s">
        <v>45</v>
      </c>
      <c r="E143" s="2">
        <v>132.80000000000001</v>
      </c>
      <c r="G143"/>
    </row>
    <row r="144" spans="1:7" ht="26.5" hidden="1" thickBot="1" x14ac:dyDescent="0.4">
      <c r="A144">
        <v>143</v>
      </c>
      <c r="B144" s="1" t="s">
        <v>33</v>
      </c>
      <c r="C144" s="2">
        <v>2016</v>
      </c>
      <c r="D144" s="1" t="s">
        <v>45</v>
      </c>
      <c r="E144" s="2">
        <v>127.6</v>
      </c>
      <c r="G144"/>
    </row>
    <row r="145" spans="1:7" ht="26.5" hidden="1" thickBot="1" x14ac:dyDescent="0.4">
      <c r="A145">
        <v>144</v>
      </c>
      <c r="B145" s="1" t="s">
        <v>34</v>
      </c>
      <c r="C145" s="2">
        <v>2016</v>
      </c>
      <c r="D145" s="1" t="s">
        <v>45</v>
      </c>
      <c r="E145" s="2">
        <v>130.4</v>
      </c>
      <c r="G145"/>
    </row>
    <row r="146" spans="1:7" ht="15" hidden="1" thickBot="1" x14ac:dyDescent="0.4">
      <c r="A146">
        <v>145</v>
      </c>
      <c r="B146" s="1" t="s">
        <v>30</v>
      </c>
      <c r="C146" s="2">
        <v>2017</v>
      </c>
      <c r="D146" s="1" t="s">
        <v>31</v>
      </c>
      <c r="E146" s="2">
        <v>132.4</v>
      </c>
      <c r="G146"/>
    </row>
    <row r="147" spans="1:7" ht="15" hidden="1" thickBot="1" x14ac:dyDescent="0.4">
      <c r="A147">
        <v>146</v>
      </c>
      <c r="B147" s="1" t="s">
        <v>33</v>
      </c>
      <c r="C147" s="2">
        <v>2017</v>
      </c>
      <c r="D147" s="1" t="s">
        <v>31</v>
      </c>
      <c r="E147" s="2">
        <v>127.8</v>
      </c>
      <c r="G147"/>
    </row>
    <row r="148" spans="1:7" ht="26.5" thickBot="1" x14ac:dyDescent="0.4">
      <c r="A148">
        <v>147</v>
      </c>
      <c r="B148" s="1" t="s">
        <v>34</v>
      </c>
      <c r="C148" s="2">
        <v>2017</v>
      </c>
      <c r="D148" s="1" t="s">
        <v>31</v>
      </c>
      <c r="E148" s="2">
        <v>130.30000000000001</v>
      </c>
      <c r="G148" s="20">
        <f>(E148-E112)/E112*100</f>
        <v>3.1670625494853639</v>
      </c>
    </row>
    <row r="149" spans="1:7" ht="15" hidden="1" thickBot="1" x14ac:dyDescent="0.4">
      <c r="A149">
        <v>148</v>
      </c>
      <c r="B149" s="1" t="s">
        <v>30</v>
      </c>
      <c r="C149" s="2">
        <v>2017</v>
      </c>
      <c r="D149" s="1" t="s">
        <v>35</v>
      </c>
      <c r="E149" s="2">
        <v>132.6</v>
      </c>
      <c r="G149"/>
    </row>
    <row r="150" spans="1:7" ht="15" hidden="1" thickBot="1" x14ac:dyDescent="0.4">
      <c r="A150">
        <v>149</v>
      </c>
      <c r="B150" s="1" t="s">
        <v>33</v>
      </c>
      <c r="C150" s="2">
        <v>2017</v>
      </c>
      <c r="D150" s="1" t="s">
        <v>35</v>
      </c>
      <c r="E150" s="2">
        <v>128.19999999999999</v>
      </c>
      <c r="G150"/>
    </row>
    <row r="151" spans="1:7" ht="26.5" thickBot="1" x14ac:dyDescent="0.4">
      <c r="A151">
        <v>150</v>
      </c>
      <c r="B151" s="1" t="s">
        <v>34</v>
      </c>
      <c r="C151" s="2">
        <v>2017</v>
      </c>
      <c r="D151" s="1" t="s">
        <v>35</v>
      </c>
      <c r="E151" s="2">
        <v>130.6</v>
      </c>
      <c r="G151" s="20">
        <f>(E151-E115)/E115*100</f>
        <v>3.6507936507936463</v>
      </c>
    </row>
    <row r="152" spans="1:7" ht="15" hidden="1" thickBot="1" x14ac:dyDescent="0.4">
      <c r="A152">
        <v>151</v>
      </c>
      <c r="B152" s="1" t="s">
        <v>30</v>
      </c>
      <c r="C152" s="2">
        <v>2017</v>
      </c>
      <c r="D152" s="1" t="s">
        <v>36</v>
      </c>
      <c r="E152" s="2">
        <v>132.80000000000001</v>
      </c>
      <c r="G152"/>
    </row>
    <row r="153" spans="1:7" ht="15" hidden="1" thickBot="1" x14ac:dyDescent="0.4">
      <c r="A153">
        <v>152</v>
      </c>
      <c r="B153" s="1" t="s">
        <v>33</v>
      </c>
      <c r="C153" s="2">
        <v>2017</v>
      </c>
      <c r="D153" s="1" t="s">
        <v>36</v>
      </c>
      <c r="E153" s="2">
        <v>128.69999999999999</v>
      </c>
      <c r="G153"/>
    </row>
    <row r="154" spans="1:7" ht="26.5" thickBot="1" x14ac:dyDescent="0.4">
      <c r="A154">
        <v>153</v>
      </c>
      <c r="B154" s="1" t="s">
        <v>34</v>
      </c>
      <c r="C154" s="2">
        <v>2017</v>
      </c>
      <c r="D154" s="1" t="s">
        <v>36</v>
      </c>
      <c r="E154" s="2">
        <v>130.9</v>
      </c>
      <c r="G154" s="20">
        <f>(E154-E118)/E118*100</f>
        <v>3.8888888888888933</v>
      </c>
    </row>
    <row r="155" spans="1:7" ht="15" hidden="1" thickBot="1" x14ac:dyDescent="0.4">
      <c r="A155">
        <v>154</v>
      </c>
      <c r="B155" s="1" t="s">
        <v>30</v>
      </c>
      <c r="C155" s="2">
        <v>2017</v>
      </c>
      <c r="D155" s="1" t="s">
        <v>37</v>
      </c>
      <c r="E155" s="2">
        <v>132.9</v>
      </c>
      <c r="G155"/>
    </row>
    <row r="156" spans="1:7" ht="15" hidden="1" thickBot="1" x14ac:dyDescent="0.4">
      <c r="A156">
        <v>155</v>
      </c>
      <c r="B156" s="1" t="s">
        <v>33</v>
      </c>
      <c r="C156" s="2">
        <v>2017</v>
      </c>
      <c r="D156" s="1" t="s">
        <v>37</v>
      </c>
      <c r="E156" s="2">
        <v>129.1</v>
      </c>
      <c r="G156"/>
    </row>
    <row r="157" spans="1:7" ht="26.5" thickBot="1" x14ac:dyDescent="0.4">
      <c r="A157">
        <v>156</v>
      </c>
      <c r="B157" s="1" t="s">
        <v>34</v>
      </c>
      <c r="C157" s="2">
        <v>2017</v>
      </c>
      <c r="D157" s="1" t="s">
        <v>37</v>
      </c>
      <c r="E157" s="2">
        <v>131.1</v>
      </c>
      <c r="G157" s="20">
        <f>(E157-E121)/E121*100</f>
        <v>2.9850746268656696</v>
      </c>
    </row>
    <row r="158" spans="1:7" ht="15" hidden="1" thickBot="1" x14ac:dyDescent="0.4">
      <c r="A158">
        <v>157</v>
      </c>
      <c r="B158" s="1" t="s">
        <v>30</v>
      </c>
      <c r="C158" s="2">
        <v>2017</v>
      </c>
      <c r="D158" s="1" t="s">
        <v>38</v>
      </c>
      <c r="E158" s="2">
        <v>133.30000000000001</v>
      </c>
      <c r="G158"/>
    </row>
    <row r="159" spans="1:7" ht="15" hidden="1" thickBot="1" x14ac:dyDescent="0.4">
      <c r="A159">
        <v>158</v>
      </c>
      <c r="B159" s="1" t="s">
        <v>33</v>
      </c>
      <c r="C159" s="2">
        <v>2017</v>
      </c>
      <c r="D159" s="1" t="s">
        <v>38</v>
      </c>
      <c r="E159" s="2">
        <v>129.30000000000001</v>
      </c>
      <c r="G159"/>
    </row>
    <row r="160" spans="1:7" ht="26.5" thickBot="1" x14ac:dyDescent="0.4">
      <c r="A160">
        <v>159</v>
      </c>
      <c r="B160" s="1" t="s">
        <v>34</v>
      </c>
      <c r="C160" s="2">
        <v>2017</v>
      </c>
      <c r="D160" s="1" t="s">
        <v>38</v>
      </c>
      <c r="E160" s="2">
        <v>131.4</v>
      </c>
      <c r="G160" s="20">
        <f>(E160-E124)/E124*100</f>
        <v>2.1772939346811913</v>
      </c>
    </row>
    <row r="161" spans="1:7" ht="15" hidden="1" thickBot="1" x14ac:dyDescent="0.4">
      <c r="A161">
        <v>160</v>
      </c>
      <c r="B161" s="1" t="s">
        <v>30</v>
      </c>
      <c r="C161" s="2">
        <v>2017</v>
      </c>
      <c r="D161" s="1" t="s">
        <v>39</v>
      </c>
      <c r="E161" s="2">
        <v>133.9</v>
      </c>
      <c r="G161"/>
    </row>
    <row r="162" spans="1:7" ht="15" hidden="1" thickBot="1" x14ac:dyDescent="0.4">
      <c r="A162">
        <v>161</v>
      </c>
      <c r="B162" s="1" t="s">
        <v>33</v>
      </c>
      <c r="C162" s="2">
        <v>2017</v>
      </c>
      <c r="D162" s="1" t="s">
        <v>39</v>
      </c>
      <c r="E162" s="2">
        <v>129.9</v>
      </c>
      <c r="G162"/>
    </row>
    <row r="163" spans="1:7" ht="26.5" thickBot="1" x14ac:dyDescent="0.4">
      <c r="A163">
        <v>162</v>
      </c>
      <c r="B163" s="1" t="s">
        <v>34</v>
      </c>
      <c r="C163" s="2">
        <v>2017</v>
      </c>
      <c r="D163" s="1" t="s">
        <v>39</v>
      </c>
      <c r="E163" s="2">
        <v>132</v>
      </c>
      <c r="G163" s="20">
        <f>(E163-E127)/E127*100</f>
        <v>1.4604150653343626</v>
      </c>
    </row>
    <row r="164" spans="1:7" ht="15" hidden="1" thickBot="1" x14ac:dyDescent="0.4">
      <c r="A164">
        <v>163</v>
      </c>
      <c r="B164" s="1" t="s">
        <v>30</v>
      </c>
      <c r="C164" s="2">
        <v>2017</v>
      </c>
      <c r="D164" s="1" t="s">
        <v>40</v>
      </c>
      <c r="E164" s="2">
        <v>136.19999999999999</v>
      </c>
      <c r="G164"/>
    </row>
    <row r="165" spans="1:7" ht="15" hidden="1" thickBot="1" x14ac:dyDescent="0.4">
      <c r="A165">
        <v>164</v>
      </c>
      <c r="B165" s="1" t="s">
        <v>33</v>
      </c>
      <c r="C165" s="2">
        <v>2017</v>
      </c>
      <c r="D165" s="1" t="s">
        <v>40</v>
      </c>
      <c r="E165" s="2">
        <v>131.80000000000001</v>
      </c>
      <c r="G165"/>
    </row>
    <row r="166" spans="1:7" ht="26.5" thickBot="1" x14ac:dyDescent="0.4">
      <c r="A166">
        <v>165</v>
      </c>
      <c r="B166" s="1" t="s">
        <v>34</v>
      </c>
      <c r="C166" s="2">
        <v>2017</v>
      </c>
      <c r="D166" s="1" t="s">
        <v>40</v>
      </c>
      <c r="E166" s="2">
        <v>134.19999999999999</v>
      </c>
      <c r="G166" s="20">
        <f>(E166-E130)/E130*100</f>
        <v>2.3646071700991569</v>
      </c>
    </row>
    <row r="167" spans="1:7" ht="15" hidden="1" thickBot="1" x14ac:dyDescent="0.4">
      <c r="A167">
        <v>166</v>
      </c>
      <c r="B167" s="1" t="s">
        <v>30</v>
      </c>
      <c r="C167" s="2">
        <v>2017</v>
      </c>
      <c r="D167" s="1" t="s">
        <v>41</v>
      </c>
      <c r="E167" s="2">
        <v>137.80000000000001</v>
      </c>
      <c r="G167"/>
    </row>
    <row r="168" spans="1:7" ht="15" hidden="1" thickBot="1" x14ac:dyDescent="0.4">
      <c r="A168">
        <v>167</v>
      </c>
      <c r="B168" s="1" t="s">
        <v>33</v>
      </c>
      <c r="C168" s="2">
        <v>2017</v>
      </c>
      <c r="D168" s="1" t="s">
        <v>41</v>
      </c>
      <c r="E168" s="2">
        <v>132.69999999999999</v>
      </c>
      <c r="G168"/>
    </row>
    <row r="169" spans="1:7" ht="26.5" thickBot="1" x14ac:dyDescent="0.4">
      <c r="A169">
        <v>168</v>
      </c>
      <c r="B169" s="1" t="s">
        <v>34</v>
      </c>
      <c r="C169" s="2">
        <v>2017</v>
      </c>
      <c r="D169" s="1" t="s">
        <v>41</v>
      </c>
      <c r="E169" s="2">
        <v>135.4</v>
      </c>
      <c r="G169" s="20">
        <f>(E169-E133)/E133*100</f>
        <v>3.2799389778794903</v>
      </c>
    </row>
    <row r="170" spans="1:7" ht="26.5" hidden="1" thickBot="1" x14ac:dyDescent="0.4">
      <c r="A170">
        <v>169</v>
      </c>
      <c r="B170" s="1" t="s">
        <v>30</v>
      </c>
      <c r="C170" s="2">
        <v>2017</v>
      </c>
      <c r="D170" s="1" t="s">
        <v>42</v>
      </c>
      <c r="E170" s="2">
        <v>137.6</v>
      </c>
      <c r="G170"/>
    </row>
    <row r="171" spans="1:7" ht="26.5" hidden="1" thickBot="1" x14ac:dyDescent="0.4">
      <c r="A171">
        <v>170</v>
      </c>
      <c r="B171" s="1" t="s">
        <v>33</v>
      </c>
      <c r="C171" s="2">
        <v>2017</v>
      </c>
      <c r="D171" s="1" t="s">
        <v>42</v>
      </c>
      <c r="E171" s="2">
        <v>132.4</v>
      </c>
      <c r="G171"/>
    </row>
    <row r="172" spans="1:7" ht="26.5" thickBot="1" x14ac:dyDescent="0.4">
      <c r="A172">
        <v>171</v>
      </c>
      <c r="B172" s="1" t="s">
        <v>34</v>
      </c>
      <c r="C172" s="2">
        <v>2017</v>
      </c>
      <c r="D172" s="1" t="s">
        <v>42</v>
      </c>
      <c r="E172" s="2">
        <v>135.19999999999999</v>
      </c>
      <c r="G172" s="20">
        <f>(E172-E136)/E136*100</f>
        <v>3.2849503437738599</v>
      </c>
    </row>
    <row r="173" spans="1:7" ht="15" hidden="1" thickBot="1" x14ac:dyDescent="0.4">
      <c r="A173">
        <v>172</v>
      </c>
      <c r="B173" s="1" t="s">
        <v>30</v>
      </c>
      <c r="C173" s="2">
        <v>2017</v>
      </c>
      <c r="D173" s="1" t="s">
        <v>43</v>
      </c>
      <c r="E173" s="2">
        <v>138.30000000000001</v>
      </c>
      <c r="G173"/>
    </row>
    <row r="174" spans="1:7" ht="15" hidden="1" thickBot="1" x14ac:dyDescent="0.4">
      <c r="A174">
        <v>173</v>
      </c>
      <c r="B174" s="1" t="s">
        <v>33</v>
      </c>
      <c r="C174" s="2">
        <v>2017</v>
      </c>
      <c r="D174" s="1" t="s">
        <v>43</v>
      </c>
      <c r="E174" s="2">
        <v>133.5</v>
      </c>
      <c r="G174"/>
    </row>
    <row r="175" spans="1:7" ht="26.5" thickBot="1" x14ac:dyDescent="0.4">
      <c r="A175">
        <v>174</v>
      </c>
      <c r="B175" s="1" t="s">
        <v>34</v>
      </c>
      <c r="C175" s="2">
        <v>2017</v>
      </c>
      <c r="D175" s="1" t="s">
        <v>43</v>
      </c>
      <c r="E175" s="2">
        <v>136.1</v>
      </c>
      <c r="G175" s="20">
        <f>(E175-E139)/E139*100</f>
        <v>3.5768645357686371</v>
      </c>
    </row>
    <row r="176" spans="1:7" ht="26.5" hidden="1" thickBot="1" x14ac:dyDescent="0.4">
      <c r="A176">
        <v>175</v>
      </c>
      <c r="B176" s="1" t="s">
        <v>30</v>
      </c>
      <c r="C176" s="2">
        <v>2017</v>
      </c>
      <c r="D176" s="1" t="s">
        <v>44</v>
      </c>
      <c r="E176" s="2">
        <v>140</v>
      </c>
      <c r="G176"/>
    </row>
    <row r="177" spans="1:18" ht="26.5" hidden="1" thickBot="1" x14ac:dyDescent="0.4">
      <c r="A177">
        <v>176</v>
      </c>
      <c r="B177" s="1" t="s">
        <v>33</v>
      </c>
      <c r="C177" s="2">
        <v>2017</v>
      </c>
      <c r="D177" s="1" t="s">
        <v>44</v>
      </c>
      <c r="E177" s="2">
        <v>134.80000000000001</v>
      </c>
      <c r="G177"/>
    </row>
    <row r="178" spans="1:18" ht="26.5" thickBot="1" x14ac:dyDescent="0.4">
      <c r="A178">
        <v>177</v>
      </c>
      <c r="B178" s="1" t="s">
        <v>34</v>
      </c>
      <c r="C178" s="2">
        <v>2017</v>
      </c>
      <c r="D178" s="1" t="s">
        <v>44</v>
      </c>
      <c r="E178" s="2">
        <v>137.6</v>
      </c>
      <c r="G178" s="20">
        <f>(E178-E142)/E142*100</f>
        <v>4.8780487804878101</v>
      </c>
      <c r="J178" s="32" t="s">
        <v>61</v>
      </c>
      <c r="K178" s="33" t="s">
        <v>62</v>
      </c>
      <c r="L178" s="34"/>
      <c r="M178" s="34"/>
      <c r="N178" s="34"/>
      <c r="O178" s="34"/>
      <c r="P178" s="34"/>
      <c r="Q178" s="34"/>
      <c r="R178" s="35"/>
    </row>
    <row r="179" spans="1:18" ht="26.5" hidden="1" thickBot="1" x14ac:dyDescent="0.4">
      <c r="A179">
        <v>178</v>
      </c>
      <c r="B179" s="1" t="s">
        <v>30</v>
      </c>
      <c r="C179" s="2">
        <v>2017</v>
      </c>
      <c r="D179" s="1" t="s">
        <v>45</v>
      </c>
      <c r="E179" s="2">
        <v>139.80000000000001</v>
      </c>
      <c r="G179"/>
    </row>
    <row r="180" spans="1:18" ht="26.5" hidden="1" thickBot="1" x14ac:dyDescent="0.4">
      <c r="A180">
        <v>179</v>
      </c>
      <c r="B180" s="1" t="s">
        <v>33</v>
      </c>
      <c r="C180" s="2">
        <v>2017</v>
      </c>
      <c r="D180" s="1" t="s">
        <v>45</v>
      </c>
      <c r="E180" s="2">
        <v>134.1</v>
      </c>
      <c r="G180"/>
    </row>
    <row r="181" spans="1:18" ht="26.5" thickBot="1" x14ac:dyDescent="0.4">
      <c r="A181">
        <v>180</v>
      </c>
      <c r="B181" s="1" t="s">
        <v>34</v>
      </c>
      <c r="C181" s="2">
        <v>2017</v>
      </c>
      <c r="D181" s="1" t="s">
        <v>45</v>
      </c>
      <c r="E181" s="2">
        <v>137.19999999999999</v>
      </c>
      <c r="G181" s="20">
        <f>(E181-E145)/E145*100</f>
        <v>5.2147239263803549</v>
      </c>
      <c r="J181" s="36"/>
    </row>
    <row r="182" spans="1:18" ht="15" hidden="1" thickBot="1" x14ac:dyDescent="0.4">
      <c r="A182">
        <v>181</v>
      </c>
      <c r="B182" s="1" t="s">
        <v>30</v>
      </c>
      <c r="C182" s="2">
        <v>2018</v>
      </c>
      <c r="D182" s="1" t="s">
        <v>31</v>
      </c>
      <c r="E182" s="2">
        <v>139.30000000000001</v>
      </c>
      <c r="G182"/>
    </row>
    <row r="183" spans="1:18" ht="15" hidden="1" thickBot="1" x14ac:dyDescent="0.4">
      <c r="A183">
        <v>182</v>
      </c>
      <c r="B183" s="1" t="s">
        <v>33</v>
      </c>
      <c r="C183" s="2">
        <v>2018</v>
      </c>
      <c r="D183" s="1" t="s">
        <v>31</v>
      </c>
      <c r="E183" s="2">
        <v>134.1</v>
      </c>
      <c r="G183"/>
    </row>
    <row r="184" spans="1:18" ht="26.5" thickBot="1" x14ac:dyDescent="0.4">
      <c r="A184">
        <v>183</v>
      </c>
      <c r="B184" s="1" t="s">
        <v>34</v>
      </c>
      <c r="C184" s="2">
        <v>2018</v>
      </c>
      <c r="D184" s="1" t="s">
        <v>31</v>
      </c>
      <c r="E184" s="2">
        <v>136.9</v>
      </c>
      <c r="G184" s="20">
        <f>(E184-E148)/E148*100</f>
        <v>5.0652340752110465</v>
      </c>
    </row>
    <row r="185" spans="1:18" ht="15" hidden="1" thickBot="1" x14ac:dyDescent="0.4">
      <c r="A185">
        <v>184</v>
      </c>
      <c r="B185" s="1" t="s">
        <v>30</v>
      </c>
      <c r="C185" s="2">
        <v>2018</v>
      </c>
      <c r="D185" s="1" t="s">
        <v>35</v>
      </c>
      <c r="E185" s="2">
        <v>138.5</v>
      </c>
      <c r="G185"/>
    </row>
    <row r="186" spans="1:18" ht="15" hidden="1" thickBot="1" x14ac:dyDescent="0.4">
      <c r="A186">
        <v>185</v>
      </c>
      <c r="B186" s="1" t="s">
        <v>33</v>
      </c>
      <c r="C186" s="2">
        <v>2018</v>
      </c>
      <c r="D186" s="1" t="s">
        <v>35</v>
      </c>
      <c r="E186" s="2">
        <v>134</v>
      </c>
      <c r="G186"/>
    </row>
    <row r="187" spans="1:18" ht="26.5" thickBot="1" x14ac:dyDescent="0.4">
      <c r="A187">
        <v>186</v>
      </c>
      <c r="B187" s="1" t="s">
        <v>34</v>
      </c>
      <c r="C187" s="2">
        <v>2018</v>
      </c>
      <c r="D187" s="1" t="s">
        <v>35</v>
      </c>
      <c r="E187" s="2">
        <v>136.4</v>
      </c>
      <c r="G187" s="20">
        <f>(E187-E151)/E151*100</f>
        <v>4.4410413476263493</v>
      </c>
    </row>
    <row r="188" spans="1:18" ht="15" hidden="1" thickBot="1" x14ac:dyDescent="0.4">
      <c r="A188">
        <v>187</v>
      </c>
      <c r="B188" s="1" t="s">
        <v>30</v>
      </c>
      <c r="C188" s="2">
        <v>2018</v>
      </c>
      <c r="D188" s="1" t="s">
        <v>36</v>
      </c>
      <c r="E188" s="2">
        <v>138.69999999999999</v>
      </c>
      <c r="G188"/>
    </row>
    <row r="189" spans="1:18" ht="15" hidden="1" thickBot="1" x14ac:dyDescent="0.4">
      <c r="A189">
        <v>188</v>
      </c>
      <c r="B189" s="1" t="s">
        <v>33</v>
      </c>
      <c r="C189" s="2">
        <v>2018</v>
      </c>
      <c r="D189" s="1" t="s">
        <v>36</v>
      </c>
      <c r="E189" s="2">
        <v>134</v>
      </c>
      <c r="G189"/>
    </row>
    <row r="190" spans="1:18" ht="26.5" thickBot="1" x14ac:dyDescent="0.4">
      <c r="A190">
        <v>189</v>
      </c>
      <c r="B190" s="1" t="s">
        <v>34</v>
      </c>
      <c r="C190" s="2">
        <v>2018</v>
      </c>
      <c r="D190" s="1" t="s">
        <v>36</v>
      </c>
      <c r="E190" s="2">
        <v>136.5</v>
      </c>
      <c r="G190" s="20">
        <f>(E190-E154)/E154*100</f>
        <v>4.2780748663101562</v>
      </c>
    </row>
    <row r="191" spans="1:18" ht="15" hidden="1" thickBot="1" x14ac:dyDescent="0.4">
      <c r="A191">
        <v>190</v>
      </c>
      <c r="B191" s="1" t="s">
        <v>30</v>
      </c>
      <c r="C191" s="2">
        <v>2018</v>
      </c>
      <c r="D191" s="1" t="s">
        <v>37</v>
      </c>
      <c r="E191" s="2">
        <v>139.1</v>
      </c>
      <c r="G191"/>
    </row>
    <row r="192" spans="1:18" ht="15" hidden="1" thickBot="1" x14ac:dyDescent="0.4">
      <c r="A192">
        <v>191</v>
      </c>
      <c r="B192" s="1" t="s">
        <v>33</v>
      </c>
      <c r="C192" s="2">
        <v>2018</v>
      </c>
      <c r="D192" s="1" t="s">
        <v>37</v>
      </c>
      <c r="E192" s="2">
        <v>134.80000000000001</v>
      </c>
      <c r="G192"/>
    </row>
    <row r="193" spans="1:7" ht="26.5" thickBot="1" x14ac:dyDescent="0.4">
      <c r="A193">
        <v>192</v>
      </c>
      <c r="B193" s="1" t="s">
        <v>34</v>
      </c>
      <c r="C193" s="2">
        <v>2018</v>
      </c>
      <c r="D193" s="1" t="s">
        <v>37</v>
      </c>
      <c r="E193" s="2">
        <v>137.1</v>
      </c>
      <c r="G193" s="20">
        <f>(E193-E157)/E157*100</f>
        <v>4.5766590389016022</v>
      </c>
    </row>
    <row r="194" spans="1:7" ht="15" hidden="1" thickBot="1" x14ac:dyDescent="0.4">
      <c r="A194">
        <v>193</v>
      </c>
      <c r="B194" s="1" t="s">
        <v>30</v>
      </c>
      <c r="C194" s="2">
        <v>2018</v>
      </c>
      <c r="D194" s="1" t="s">
        <v>38</v>
      </c>
      <c r="E194" s="2">
        <v>139.80000000000001</v>
      </c>
      <c r="G194"/>
    </row>
    <row r="195" spans="1:7" ht="15" hidden="1" thickBot="1" x14ac:dyDescent="0.4">
      <c r="A195">
        <v>194</v>
      </c>
      <c r="B195" s="1" t="s">
        <v>33</v>
      </c>
      <c r="C195" s="2">
        <v>2018</v>
      </c>
      <c r="D195" s="1" t="s">
        <v>38</v>
      </c>
      <c r="E195" s="2">
        <v>135.4</v>
      </c>
      <c r="G195"/>
    </row>
    <row r="196" spans="1:7" ht="26.5" thickBot="1" x14ac:dyDescent="0.4">
      <c r="A196">
        <v>195</v>
      </c>
      <c r="B196" s="1" t="s">
        <v>34</v>
      </c>
      <c r="C196" s="2">
        <v>2018</v>
      </c>
      <c r="D196" s="1" t="s">
        <v>38</v>
      </c>
      <c r="E196" s="2">
        <v>137.80000000000001</v>
      </c>
      <c r="G196" s="20">
        <f>(E196-E160)/E160*100</f>
        <v>4.8706240487062447</v>
      </c>
    </row>
    <row r="197" spans="1:7" ht="15" hidden="1" thickBot="1" x14ac:dyDescent="0.4">
      <c r="A197">
        <v>196</v>
      </c>
      <c r="B197" s="1" t="s">
        <v>30</v>
      </c>
      <c r="C197" s="2">
        <v>2018</v>
      </c>
      <c r="D197" s="1" t="s">
        <v>39</v>
      </c>
      <c r="E197" s="2">
        <v>140.5</v>
      </c>
      <c r="G197"/>
    </row>
    <row r="198" spans="1:7" ht="15" hidden="1" thickBot="1" x14ac:dyDescent="0.4">
      <c r="A198">
        <v>197</v>
      </c>
      <c r="B198" s="1" t="s">
        <v>33</v>
      </c>
      <c r="C198" s="2">
        <v>2018</v>
      </c>
      <c r="D198" s="1" t="s">
        <v>39</v>
      </c>
      <c r="E198" s="2">
        <v>136.19999999999999</v>
      </c>
      <c r="G198"/>
    </row>
    <row r="199" spans="1:7" ht="26.5" thickBot="1" x14ac:dyDescent="0.4">
      <c r="A199">
        <v>198</v>
      </c>
      <c r="B199" s="1" t="s">
        <v>34</v>
      </c>
      <c r="C199" s="2">
        <v>2018</v>
      </c>
      <c r="D199" s="1" t="s">
        <v>39</v>
      </c>
      <c r="E199" s="2">
        <v>138.5</v>
      </c>
      <c r="G199" s="20">
        <f>(E199-E163)/E163*100</f>
        <v>4.9242424242424239</v>
      </c>
    </row>
    <row r="200" spans="1:7" ht="15" hidden="1" thickBot="1" x14ac:dyDescent="0.4">
      <c r="A200">
        <v>199</v>
      </c>
      <c r="B200" s="1" t="s">
        <v>30</v>
      </c>
      <c r="C200" s="2">
        <v>2018</v>
      </c>
      <c r="D200" s="1" t="s">
        <v>40</v>
      </c>
      <c r="E200" s="2">
        <v>141.80000000000001</v>
      </c>
      <c r="G200"/>
    </row>
    <row r="201" spans="1:7" ht="15" hidden="1" thickBot="1" x14ac:dyDescent="0.4">
      <c r="A201">
        <v>200</v>
      </c>
      <c r="B201" s="1" t="s">
        <v>33</v>
      </c>
      <c r="C201" s="2">
        <v>2018</v>
      </c>
      <c r="D201" s="1" t="s">
        <v>40</v>
      </c>
      <c r="E201" s="2">
        <v>137.5</v>
      </c>
      <c r="G201"/>
    </row>
    <row r="202" spans="1:7" ht="26.5" thickBot="1" x14ac:dyDescent="0.4">
      <c r="A202">
        <v>201</v>
      </c>
      <c r="B202" s="1" t="s">
        <v>34</v>
      </c>
      <c r="C202" s="2">
        <v>2018</v>
      </c>
      <c r="D202" s="1" t="s">
        <v>40</v>
      </c>
      <c r="E202" s="2">
        <v>139.80000000000001</v>
      </c>
      <c r="G202" s="20">
        <f>(E202-E166)/E166*100</f>
        <v>4.1728763040238617</v>
      </c>
    </row>
    <row r="203" spans="1:7" ht="15" hidden="1" thickBot="1" x14ac:dyDescent="0.4">
      <c r="A203">
        <v>202</v>
      </c>
      <c r="B203" s="1" t="s">
        <v>30</v>
      </c>
      <c r="C203" s="2">
        <v>2018</v>
      </c>
      <c r="D203" s="1" t="s">
        <v>41</v>
      </c>
      <c r="E203" s="2">
        <v>142.5</v>
      </c>
      <c r="G203"/>
    </row>
    <row r="204" spans="1:7" ht="15" hidden="1" thickBot="1" x14ac:dyDescent="0.4">
      <c r="A204">
        <v>203</v>
      </c>
      <c r="B204" s="1" t="s">
        <v>33</v>
      </c>
      <c r="C204" s="2">
        <v>2018</v>
      </c>
      <c r="D204" s="1" t="s">
        <v>41</v>
      </c>
      <c r="E204" s="2">
        <v>138</v>
      </c>
      <c r="G204"/>
    </row>
    <row r="205" spans="1:7" ht="26.5" thickBot="1" x14ac:dyDescent="0.4">
      <c r="A205">
        <v>204</v>
      </c>
      <c r="B205" s="1" t="s">
        <v>34</v>
      </c>
      <c r="C205" s="2">
        <v>2018</v>
      </c>
      <c r="D205" s="1" t="s">
        <v>41</v>
      </c>
      <c r="E205" s="2">
        <v>140.4</v>
      </c>
      <c r="G205" s="20">
        <f>(E205-E169)/E169*100</f>
        <v>3.6927621861152145</v>
      </c>
    </row>
    <row r="206" spans="1:7" ht="26.5" hidden="1" thickBot="1" x14ac:dyDescent="0.4">
      <c r="A206">
        <v>205</v>
      </c>
      <c r="B206" s="1" t="s">
        <v>30</v>
      </c>
      <c r="C206" s="2">
        <v>2018</v>
      </c>
      <c r="D206" s="1" t="s">
        <v>42</v>
      </c>
      <c r="E206" s="2">
        <v>142.1</v>
      </c>
      <c r="G206"/>
    </row>
    <row r="207" spans="1:7" ht="26.5" hidden="1" thickBot="1" x14ac:dyDescent="0.4">
      <c r="A207">
        <v>206</v>
      </c>
      <c r="B207" s="1" t="s">
        <v>33</v>
      </c>
      <c r="C207" s="2">
        <v>2018</v>
      </c>
      <c r="D207" s="1" t="s">
        <v>42</v>
      </c>
      <c r="E207" s="2">
        <v>138.1</v>
      </c>
      <c r="G207"/>
    </row>
    <row r="208" spans="1:7" ht="26.5" thickBot="1" x14ac:dyDescent="0.4">
      <c r="A208">
        <v>207</v>
      </c>
      <c r="B208" s="1" t="s">
        <v>34</v>
      </c>
      <c r="C208" s="2">
        <v>2018</v>
      </c>
      <c r="D208" s="1" t="s">
        <v>42</v>
      </c>
      <c r="E208" s="2">
        <v>140.19999999999999</v>
      </c>
      <c r="G208" s="20">
        <f>(E208-E172)/E172*100</f>
        <v>3.6982248520710059</v>
      </c>
    </row>
    <row r="209" spans="1:7" ht="15" hidden="1" thickBot="1" x14ac:dyDescent="0.4">
      <c r="A209">
        <v>208</v>
      </c>
      <c r="B209" s="1" t="s">
        <v>30</v>
      </c>
      <c r="C209" s="2">
        <v>2018</v>
      </c>
      <c r="D209" s="1" t="s">
        <v>43</v>
      </c>
      <c r="E209" s="2">
        <v>142.19999999999999</v>
      </c>
      <c r="G209"/>
    </row>
    <row r="210" spans="1:7" ht="15" hidden="1" thickBot="1" x14ac:dyDescent="0.4">
      <c r="A210">
        <v>209</v>
      </c>
      <c r="B210" s="1" t="s">
        <v>33</v>
      </c>
      <c r="C210" s="2">
        <v>2018</v>
      </c>
      <c r="D210" s="1" t="s">
        <v>43</v>
      </c>
      <c r="E210" s="2">
        <v>138.9</v>
      </c>
      <c r="G210"/>
    </row>
    <row r="211" spans="1:7" ht="26.5" thickBot="1" x14ac:dyDescent="0.4">
      <c r="A211">
        <v>210</v>
      </c>
      <c r="B211" s="1" t="s">
        <v>34</v>
      </c>
      <c r="C211" s="2">
        <v>2018</v>
      </c>
      <c r="D211" s="1" t="s">
        <v>43</v>
      </c>
      <c r="E211" s="2">
        <v>140.80000000000001</v>
      </c>
      <c r="G211" s="20">
        <f>(E211-E175)/E175*100</f>
        <v>3.4533431300514459</v>
      </c>
    </row>
    <row r="212" spans="1:7" ht="26.5" hidden="1" thickBot="1" x14ac:dyDescent="0.4">
      <c r="A212">
        <v>211</v>
      </c>
      <c r="B212" s="1" t="s">
        <v>30</v>
      </c>
      <c r="C212" s="2">
        <v>2018</v>
      </c>
      <c r="D212" s="1" t="s">
        <v>44</v>
      </c>
      <c r="E212" s="2">
        <v>142.4</v>
      </c>
      <c r="G212"/>
    </row>
    <row r="213" spans="1:7" ht="26.5" hidden="1" thickBot="1" x14ac:dyDescent="0.4">
      <c r="A213">
        <v>212</v>
      </c>
      <c r="B213" s="1" t="s">
        <v>33</v>
      </c>
      <c r="C213" s="2">
        <v>2018</v>
      </c>
      <c r="D213" s="1" t="s">
        <v>44</v>
      </c>
      <c r="E213" s="2">
        <v>139</v>
      </c>
      <c r="G213"/>
    </row>
    <row r="214" spans="1:7" ht="26.5" thickBot="1" x14ac:dyDescent="0.4">
      <c r="A214">
        <v>213</v>
      </c>
      <c r="B214" s="1" t="s">
        <v>34</v>
      </c>
      <c r="C214" s="2">
        <v>2018</v>
      </c>
      <c r="D214" s="1" t="s">
        <v>44</v>
      </c>
      <c r="E214" s="2">
        <v>140.80000000000001</v>
      </c>
      <c r="G214" s="20">
        <f>(E214-E178)/E178*100</f>
        <v>2.3255813953488498</v>
      </c>
    </row>
    <row r="215" spans="1:7" ht="26.5" hidden="1" thickBot="1" x14ac:dyDescent="0.4">
      <c r="A215">
        <v>214</v>
      </c>
      <c r="B215" s="1" t="s">
        <v>30</v>
      </c>
      <c r="C215" s="2">
        <v>2018</v>
      </c>
      <c r="D215" s="1" t="s">
        <v>45</v>
      </c>
      <c r="E215" s="2">
        <v>141.9</v>
      </c>
      <c r="G215"/>
    </row>
    <row r="216" spans="1:7" ht="26.5" hidden="1" thickBot="1" x14ac:dyDescent="0.4">
      <c r="A216">
        <v>215</v>
      </c>
      <c r="B216" s="1" t="s">
        <v>33</v>
      </c>
      <c r="C216" s="2">
        <v>2018</v>
      </c>
      <c r="D216" s="1" t="s">
        <v>45</v>
      </c>
      <c r="E216" s="2">
        <v>138</v>
      </c>
      <c r="G216"/>
    </row>
    <row r="217" spans="1:7" ht="26.5" thickBot="1" x14ac:dyDescent="0.4">
      <c r="A217">
        <v>216</v>
      </c>
      <c r="B217" s="1" t="s">
        <v>34</v>
      </c>
      <c r="C217" s="2">
        <v>2018</v>
      </c>
      <c r="D217" s="1" t="s">
        <v>45</v>
      </c>
      <c r="E217" s="2">
        <v>140.1</v>
      </c>
      <c r="G217" s="20">
        <f>(E217-E181)/E181*100</f>
        <v>2.1137026239067098</v>
      </c>
    </row>
    <row r="218" spans="1:7" ht="15" hidden="1" thickBot="1" x14ac:dyDescent="0.4">
      <c r="A218">
        <v>217</v>
      </c>
      <c r="B218" s="1" t="s">
        <v>30</v>
      </c>
      <c r="C218" s="2">
        <v>2019</v>
      </c>
      <c r="D218" s="1" t="s">
        <v>31</v>
      </c>
      <c r="E218" s="2">
        <v>141</v>
      </c>
      <c r="G218"/>
    </row>
    <row r="219" spans="1:7" ht="15" hidden="1" thickBot="1" x14ac:dyDescent="0.4">
      <c r="A219">
        <v>218</v>
      </c>
      <c r="B219" s="1" t="s">
        <v>33</v>
      </c>
      <c r="C219" s="2">
        <v>2019</v>
      </c>
      <c r="D219" s="1" t="s">
        <v>31</v>
      </c>
      <c r="E219" s="2">
        <v>138</v>
      </c>
      <c r="G219"/>
    </row>
    <row r="220" spans="1:7" ht="26.5" thickBot="1" x14ac:dyDescent="0.4">
      <c r="A220">
        <v>219</v>
      </c>
      <c r="B220" s="1" t="s">
        <v>34</v>
      </c>
      <c r="C220" s="2">
        <v>2019</v>
      </c>
      <c r="D220" s="1" t="s">
        <v>31</v>
      </c>
      <c r="E220" s="2">
        <v>139.6</v>
      </c>
      <c r="G220" s="20">
        <f>(E220-E184)/E184*100</f>
        <v>1.972242512783045</v>
      </c>
    </row>
    <row r="221" spans="1:7" ht="15" hidden="1" thickBot="1" x14ac:dyDescent="0.4">
      <c r="A221">
        <v>220</v>
      </c>
      <c r="B221" s="1" t="s">
        <v>30</v>
      </c>
      <c r="C221" s="2">
        <v>2019</v>
      </c>
      <c r="D221" s="1" t="s">
        <v>35</v>
      </c>
      <c r="E221" s="2">
        <v>141</v>
      </c>
      <c r="G221"/>
    </row>
    <row r="222" spans="1:7" ht="15" hidden="1" thickBot="1" x14ac:dyDescent="0.4">
      <c r="A222">
        <v>221</v>
      </c>
      <c r="B222" s="1" t="s">
        <v>33</v>
      </c>
      <c r="C222" s="2">
        <v>2019</v>
      </c>
      <c r="D222" s="1" t="s">
        <v>35</v>
      </c>
      <c r="E222" s="2">
        <v>138.6</v>
      </c>
      <c r="G222"/>
    </row>
    <row r="223" spans="1:7" ht="26.5" thickBot="1" x14ac:dyDescent="0.4">
      <c r="A223">
        <v>222</v>
      </c>
      <c r="B223" s="1" t="s">
        <v>34</v>
      </c>
      <c r="C223" s="2">
        <v>2019</v>
      </c>
      <c r="D223" s="1" t="s">
        <v>35</v>
      </c>
      <c r="E223" s="2">
        <v>139.9</v>
      </c>
      <c r="G223" s="20">
        <f>(E223-E187)/E187*100</f>
        <v>2.5659824046920821</v>
      </c>
    </row>
    <row r="224" spans="1:7" ht="15" hidden="1" thickBot="1" x14ac:dyDescent="0.4">
      <c r="A224">
        <v>223</v>
      </c>
      <c r="B224" s="1" t="s">
        <v>30</v>
      </c>
      <c r="C224" s="2">
        <v>2019</v>
      </c>
      <c r="D224" s="1" t="s">
        <v>36</v>
      </c>
      <c r="E224" s="2">
        <v>141.19999999999999</v>
      </c>
      <c r="G224"/>
    </row>
    <row r="225" spans="1:7" ht="15" hidden="1" thickBot="1" x14ac:dyDescent="0.4">
      <c r="A225">
        <v>224</v>
      </c>
      <c r="B225" s="1" t="s">
        <v>33</v>
      </c>
      <c r="C225" s="2">
        <v>2019</v>
      </c>
      <c r="D225" s="1" t="s">
        <v>36</v>
      </c>
      <c r="E225" s="2">
        <v>139.5</v>
      </c>
      <c r="G225"/>
    </row>
    <row r="226" spans="1:7" ht="26.5" thickBot="1" x14ac:dyDescent="0.4">
      <c r="A226">
        <v>225</v>
      </c>
      <c r="B226" s="1" t="s">
        <v>34</v>
      </c>
      <c r="C226" s="2">
        <v>2019</v>
      </c>
      <c r="D226" s="1" t="s">
        <v>36</v>
      </c>
      <c r="E226" s="2">
        <v>140.4</v>
      </c>
      <c r="G226" s="20">
        <f>(E226-E190)/E190*100</f>
        <v>2.8571428571428612</v>
      </c>
    </row>
    <row r="227" spans="1:7" ht="15" hidden="1" thickBot="1" x14ac:dyDescent="0.4">
      <c r="A227">
        <v>226</v>
      </c>
      <c r="B227" s="1" t="s">
        <v>30</v>
      </c>
      <c r="C227" s="2">
        <v>2019</v>
      </c>
      <c r="D227" s="1" t="s">
        <v>38</v>
      </c>
      <c r="E227" s="2">
        <v>142.4</v>
      </c>
      <c r="G227"/>
    </row>
    <row r="228" spans="1:7" ht="15" hidden="1" thickBot="1" x14ac:dyDescent="0.4">
      <c r="A228">
        <v>227</v>
      </c>
      <c r="B228" s="1" t="s">
        <v>33</v>
      </c>
      <c r="C228" s="2">
        <v>2019</v>
      </c>
      <c r="D228" s="1" t="s">
        <v>38</v>
      </c>
      <c r="E228" s="2">
        <v>141.5</v>
      </c>
      <c r="G228"/>
    </row>
    <row r="229" spans="1:7" ht="26.5" thickBot="1" x14ac:dyDescent="0.4">
      <c r="A229">
        <v>228</v>
      </c>
      <c r="B229" s="1" t="s">
        <v>34</v>
      </c>
      <c r="C229" s="2">
        <v>2019</v>
      </c>
      <c r="D229" s="1" t="s">
        <v>38</v>
      </c>
      <c r="E229" s="2">
        <v>142</v>
      </c>
      <c r="G229" s="20">
        <f>(E229-E193)/E193*100</f>
        <v>3.5740335521517181</v>
      </c>
    </row>
    <row r="230" spans="1:7" ht="15" hidden="1" thickBot="1" x14ac:dyDescent="0.4">
      <c r="A230">
        <v>229</v>
      </c>
      <c r="B230" s="1" t="s">
        <v>30</v>
      </c>
      <c r="C230" s="2">
        <v>2019</v>
      </c>
      <c r="D230" s="1" t="s">
        <v>39</v>
      </c>
      <c r="E230" s="2">
        <v>143.6</v>
      </c>
      <c r="G230"/>
    </row>
    <row r="231" spans="1:7" ht="15" hidden="1" thickBot="1" x14ac:dyDescent="0.4">
      <c r="A231">
        <v>230</v>
      </c>
      <c r="B231" s="1" t="s">
        <v>33</v>
      </c>
      <c r="C231" s="2">
        <v>2019</v>
      </c>
      <c r="D231" s="1" t="s">
        <v>39</v>
      </c>
      <c r="E231" s="2">
        <v>142.1</v>
      </c>
      <c r="G231"/>
    </row>
    <row r="232" spans="1:7" ht="26.5" thickBot="1" x14ac:dyDescent="0.4">
      <c r="A232">
        <v>231</v>
      </c>
      <c r="B232" s="1" t="s">
        <v>34</v>
      </c>
      <c r="C232" s="2">
        <v>2019</v>
      </c>
      <c r="D232" s="1" t="s">
        <v>39</v>
      </c>
      <c r="E232" s="2">
        <v>142.9</v>
      </c>
      <c r="G232" s="20">
        <f>(E232-E196)/E196*100</f>
        <v>3.7010159651669037</v>
      </c>
    </row>
    <row r="233" spans="1:7" ht="15" hidden="1" thickBot="1" x14ac:dyDescent="0.4">
      <c r="A233">
        <v>232</v>
      </c>
      <c r="B233" s="1" t="s">
        <v>30</v>
      </c>
      <c r="C233" s="2">
        <v>2019</v>
      </c>
      <c r="D233" s="1" t="s">
        <v>40</v>
      </c>
      <c r="E233" s="2">
        <v>144.9</v>
      </c>
      <c r="G233"/>
    </row>
    <row r="234" spans="1:7" ht="15" hidden="1" thickBot="1" x14ac:dyDescent="0.4">
      <c r="A234">
        <v>233</v>
      </c>
      <c r="B234" s="1" t="s">
        <v>33</v>
      </c>
      <c r="C234" s="2">
        <v>2019</v>
      </c>
      <c r="D234" s="1" t="s">
        <v>40</v>
      </c>
      <c r="E234" s="2">
        <v>143.30000000000001</v>
      </c>
      <c r="G234"/>
    </row>
    <row r="235" spans="1:7" ht="26.5" thickBot="1" x14ac:dyDescent="0.4">
      <c r="A235">
        <v>234</v>
      </c>
      <c r="B235" s="1" t="s">
        <v>34</v>
      </c>
      <c r="C235" s="2">
        <v>2019</v>
      </c>
      <c r="D235" s="1" t="s">
        <v>40</v>
      </c>
      <c r="E235" s="2">
        <v>144.19999999999999</v>
      </c>
      <c r="G235" s="20">
        <f>(E235-E199)/E199*100</f>
        <v>4.115523465703963</v>
      </c>
    </row>
    <row r="236" spans="1:7" ht="15" hidden="1" thickBot="1" x14ac:dyDescent="0.4">
      <c r="A236">
        <v>235</v>
      </c>
      <c r="B236" s="1" t="s">
        <v>30</v>
      </c>
      <c r="C236" s="2">
        <v>2019</v>
      </c>
      <c r="D236" s="1" t="s">
        <v>41</v>
      </c>
      <c r="E236" s="2">
        <v>145.69999999999999</v>
      </c>
      <c r="G236"/>
    </row>
    <row r="237" spans="1:7" ht="15" hidden="1" thickBot="1" x14ac:dyDescent="0.4">
      <c r="A237">
        <v>236</v>
      </c>
      <c r="B237" s="1" t="s">
        <v>33</v>
      </c>
      <c r="C237" s="2">
        <v>2019</v>
      </c>
      <c r="D237" s="1" t="s">
        <v>41</v>
      </c>
      <c r="E237" s="2">
        <v>144.19999999999999</v>
      </c>
      <c r="G237"/>
    </row>
    <row r="238" spans="1:7" ht="26.5" thickBot="1" x14ac:dyDescent="0.4">
      <c r="A238">
        <v>237</v>
      </c>
      <c r="B238" s="1" t="s">
        <v>34</v>
      </c>
      <c r="C238" s="2">
        <v>2019</v>
      </c>
      <c r="D238" s="1" t="s">
        <v>41</v>
      </c>
      <c r="E238" s="2">
        <v>145</v>
      </c>
      <c r="G238" s="20">
        <f>(E238-E202)/E202*100</f>
        <v>3.7195994277539257</v>
      </c>
    </row>
    <row r="239" spans="1:7" ht="26.5" hidden="1" thickBot="1" x14ac:dyDescent="0.4">
      <c r="A239">
        <v>238</v>
      </c>
      <c r="B239" s="1" t="s">
        <v>30</v>
      </c>
      <c r="C239" s="2">
        <v>2019</v>
      </c>
      <c r="D239" s="1" t="s">
        <v>42</v>
      </c>
      <c r="E239" s="2">
        <v>146.69999999999999</v>
      </c>
      <c r="G239"/>
    </row>
    <row r="240" spans="1:7" ht="26.5" hidden="1" thickBot="1" x14ac:dyDescent="0.4">
      <c r="A240">
        <v>239</v>
      </c>
      <c r="B240" s="1" t="s">
        <v>33</v>
      </c>
      <c r="C240" s="2">
        <v>2019</v>
      </c>
      <c r="D240" s="1" t="s">
        <v>42</v>
      </c>
      <c r="E240" s="2">
        <v>144.69999999999999</v>
      </c>
      <c r="G240"/>
    </row>
    <row r="241" spans="1:7" ht="26.5" thickBot="1" x14ac:dyDescent="0.4">
      <c r="A241">
        <v>240</v>
      </c>
      <c r="B241" s="1" t="s">
        <v>34</v>
      </c>
      <c r="C241" s="2">
        <v>2019</v>
      </c>
      <c r="D241" s="1" t="s">
        <v>42</v>
      </c>
      <c r="E241" s="2">
        <v>145.80000000000001</v>
      </c>
      <c r="G241" s="20">
        <f>(E241-E205)/E205*100</f>
        <v>3.8461538461538498</v>
      </c>
    </row>
    <row r="242" spans="1:7" ht="15" hidden="1" thickBot="1" x14ac:dyDescent="0.4">
      <c r="A242">
        <v>241</v>
      </c>
      <c r="B242" s="1" t="s">
        <v>30</v>
      </c>
      <c r="C242" s="2">
        <v>2019</v>
      </c>
      <c r="D242" s="1" t="s">
        <v>43</v>
      </c>
      <c r="E242" s="2">
        <v>148.30000000000001</v>
      </c>
      <c r="G242"/>
    </row>
    <row r="243" spans="1:7" ht="15" hidden="1" thickBot="1" x14ac:dyDescent="0.4">
      <c r="A243">
        <v>242</v>
      </c>
      <c r="B243" s="1" t="s">
        <v>33</v>
      </c>
      <c r="C243" s="2">
        <v>2019</v>
      </c>
      <c r="D243" s="1" t="s">
        <v>43</v>
      </c>
      <c r="E243" s="2">
        <v>146</v>
      </c>
      <c r="G243"/>
    </row>
    <row r="244" spans="1:7" ht="26.5" thickBot="1" x14ac:dyDescent="0.4">
      <c r="A244">
        <v>243</v>
      </c>
      <c r="B244" s="1" t="s">
        <v>34</v>
      </c>
      <c r="C244" s="2">
        <v>2019</v>
      </c>
      <c r="D244" s="1" t="s">
        <v>43</v>
      </c>
      <c r="E244" s="2">
        <v>147.19999999999999</v>
      </c>
      <c r="G244" s="20">
        <f>(E244-E208)/E208*100</f>
        <v>4.9928673323823114</v>
      </c>
    </row>
    <row r="245" spans="1:7" ht="26.5" hidden="1" thickBot="1" x14ac:dyDescent="0.4">
      <c r="A245">
        <v>244</v>
      </c>
      <c r="B245" s="1" t="s">
        <v>30</v>
      </c>
      <c r="C245" s="2">
        <v>2019</v>
      </c>
      <c r="D245" s="1" t="s">
        <v>44</v>
      </c>
      <c r="E245" s="2">
        <v>149.9</v>
      </c>
      <c r="G245"/>
    </row>
    <row r="246" spans="1:7" ht="26.5" hidden="1" thickBot="1" x14ac:dyDescent="0.4">
      <c r="A246">
        <v>245</v>
      </c>
      <c r="B246" s="1" t="s">
        <v>33</v>
      </c>
      <c r="C246" s="2">
        <v>2019</v>
      </c>
      <c r="D246" s="1" t="s">
        <v>44</v>
      </c>
      <c r="E246" s="2">
        <v>147</v>
      </c>
      <c r="G246"/>
    </row>
    <row r="247" spans="1:7" ht="26.5" thickBot="1" x14ac:dyDescent="0.4">
      <c r="A247">
        <v>246</v>
      </c>
      <c r="B247" s="1" t="s">
        <v>34</v>
      </c>
      <c r="C247" s="2">
        <v>2019</v>
      </c>
      <c r="D247" s="1" t="s">
        <v>44</v>
      </c>
      <c r="E247" s="2">
        <v>148.6</v>
      </c>
      <c r="G247" s="20">
        <f>(E247-E211)/E211*100</f>
        <v>5.5397727272727151</v>
      </c>
    </row>
    <row r="248" spans="1:7" ht="26.5" hidden="1" thickBot="1" x14ac:dyDescent="0.4">
      <c r="A248">
        <v>247</v>
      </c>
      <c r="B248" s="1" t="s">
        <v>30</v>
      </c>
      <c r="C248" s="2">
        <v>2019</v>
      </c>
      <c r="D248" s="1" t="s">
        <v>45</v>
      </c>
      <c r="E248" s="2">
        <v>152.30000000000001</v>
      </c>
      <c r="G248"/>
    </row>
    <row r="249" spans="1:7" ht="26.5" hidden="1" thickBot="1" x14ac:dyDescent="0.4">
      <c r="A249">
        <v>248</v>
      </c>
      <c r="B249" s="1" t="s">
        <v>33</v>
      </c>
      <c r="C249" s="2">
        <v>2019</v>
      </c>
      <c r="D249" s="1" t="s">
        <v>45</v>
      </c>
      <c r="E249" s="2">
        <v>148.30000000000001</v>
      </c>
      <c r="G249"/>
    </row>
    <row r="250" spans="1:7" ht="26.5" thickBot="1" x14ac:dyDescent="0.4">
      <c r="A250">
        <v>249</v>
      </c>
      <c r="B250" s="1" t="s">
        <v>34</v>
      </c>
      <c r="C250" s="2">
        <v>2019</v>
      </c>
      <c r="D250" s="1" t="s">
        <v>45</v>
      </c>
      <c r="E250" s="2">
        <v>150.4</v>
      </c>
      <c r="G250" s="20">
        <f>(E250-E214)/E214*100</f>
        <v>6.8181818181818139</v>
      </c>
    </row>
    <row r="251" spans="1:7" ht="15" hidden="1" thickBot="1" x14ac:dyDescent="0.4">
      <c r="A251">
        <v>250</v>
      </c>
      <c r="B251" s="1" t="s">
        <v>30</v>
      </c>
      <c r="C251" s="2">
        <v>2020</v>
      </c>
      <c r="D251" s="1" t="s">
        <v>31</v>
      </c>
      <c r="E251" s="2">
        <v>151.9</v>
      </c>
      <c r="G251"/>
    </row>
    <row r="252" spans="1:7" ht="15" hidden="1" thickBot="1" x14ac:dyDescent="0.4">
      <c r="A252">
        <v>251</v>
      </c>
      <c r="B252" s="1" t="s">
        <v>33</v>
      </c>
      <c r="C252" s="2">
        <v>2020</v>
      </c>
      <c r="D252" s="1" t="s">
        <v>31</v>
      </c>
      <c r="E252" s="2">
        <v>148.19999999999999</v>
      </c>
      <c r="G252"/>
    </row>
    <row r="253" spans="1:7" ht="26.5" thickBot="1" x14ac:dyDescent="0.4">
      <c r="A253">
        <v>252</v>
      </c>
      <c r="B253" s="1" t="s">
        <v>34</v>
      </c>
      <c r="C253" s="2">
        <v>2020</v>
      </c>
      <c r="D253" s="1" t="s">
        <v>31</v>
      </c>
      <c r="E253" s="2">
        <v>150.19999999999999</v>
      </c>
      <c r="G253" s="20">
        <f>(E253-E217)/E217*100</f>
        <v>7.2091363311920027</v>
      </c>
    </row>
    <row r="254" spans="1:7" ht="15" hidden="1" thickBot="1" x14ac:dyDescent="0.4">
      <c r="A254">
        <v>253</v>
      </c>
      <c r="B254" s="1" t="s">
        <v>30</v>
      </c>
      <c r="C254" s="2">
        <v>2020</v>
      </c>
      <c r="D254" s="1" t="s">
        <v>35</v>
      </c>
      <c r="E254" s="2">
        <v>150.4</v>
      </c>
      <c r="G254"/>
    </row>
    <row r="255" spans="1:7" ht="15" hidden="1" thickBot="1" x14ac:dyDescent="0.4">
      <c r="A255">
        <v>254</v>
      </c>
      <c r="B255" s="1" t="s">
        <v>33</v>
      </c>
      <c r="C255" s="2">
        <v>2020</v>
      </c>
      <c r="D255" s="1" t="s">
        <v>35</v>
      </c>
      <c r="E255" s="2">
        <v>147.69999999999999</v>
      </c>
      <c r="G255"/>
    </row>
    <row r="256" spans="1:7" ht="26.5" thickBot="1" x14ac:dyDescent="0.4">
      <c r="A256">
        <v>255</v>
      </c>
      <c r="B256" s="1" t="s">
        <v>34</v>
      </c>
      <c r="C256" s="2">
        <v>2020</v>
      </c>
      <c r="D256" s="1" t="s">
        <v>35</v>
      </c>
      <c r="E256" s="2">
        <v>149.1</v>
      </c>
      <c r="G256" s="20">
        <f>(E256-E220)/E220*100</f>
        <v>6.8051575931232096</v>
      </c>
    </row>
    <row r="257" spans="1:7" ht="15" hidden="1" thickBot="1" x14ac:dyDescent="0.4">
      <c r="A257">
        <v>256</v>
      </c>
      <c r="B257" s="1" t="s">
        <v>30</v>
      </c>
      <c r="C257" s="2">
        <v>2020</v>
      </c>
      <c r="D257" s="1" t="s">
        <v>36</v>
      </c>
      <c r="E257" s="2">
        <v>149.80000000000001</v>
      </c>
      <c r="G257"/>
    </row>
    <row r="258" spans="1:7" ht="15" hidden="1" thickBot="1" x14ac:dyDescent="0.4">
      <c r="A258">
        <v>257</v>
      </c>
      <c r="B258" s="1" t="s">
        <v>33</v>
      </c>
      <c r="C258" s="2">
        <v>2020</v>
      </c>
      <c r="D258" s="1" t="s">
        <v>36</v>
      </c>
      <c r="E258" s="2">
        <v>147.30000000000001</v>
      </c>
      <c r="G258"/>
    </row>
    <row r="259" spans="1:7" ht="26.5" thickBot="1" x14ac:dyDescent="0.4">
      <c r="A259">
        <v>258</v>
      </c>
      <c r="B259" s="1" t="s">
        <v>34</v>
      </c>
      <c r="C259" s="2">
        <v>2020</v>
      </c>
      <c r="D259" s="1" t="s">
        <v>36</v>
      </c>
      <c r="E259" s="2">
        <v>148.6</v>
      </c>
      <c r="G259" s="20">
        <f>(E259-E223)/E223*100</f>
        <v>6.2187276626161463</v>
      </c>
    </row>
    <row r="260" spans="1:7" ht="15" hidden="1" thickBot="1" x14ac:dyDescent="0.4">
      <c r="A260">
        <v>259</v>
      </c>
      <c r="B260" s="1" t="s">
        <v>30</v>
      </c>
      <c r="C260" s="2">
        <v>2020</v>
      </c>
      <c r="D260" s="1" t="s">
        <v>37</v>
      </c>
      <c r="E260" s="17">
        <f t="shared" ref="E260" si="0">E257+(E263-E257)/3</f>
        <v>150.44444444444446</v>
      </c>
      <c r="G260"/>
    </row>
    <row r="261" spans="1:7" ht="15" hidden="1" thickBot="1" x14ac:dyDescent="0.4">
      <c r="A261">
        <v>260</v>
      </c>
      <c r="B261" s="1" t="s">
        <v>33</v>
      </c>
      <c r="C261" s="2">
        <v>2020</v>
      </c>
      <c r="D261" s="1" t="s">
        <v>37</v>
      </c>
      <c r="E261" s="17">
        <f t="shared" ref="E261:E262" si="1">E258+(E267-E258)/3</f>
        <v>148.46666666666667</v>
      </c>
      <c r="G261"/>
    </row>
    <row r="262" spans="1:7" ht="26.5" thickBot="1" x14ac:dyDescent="0.4">
      <c r="A262">
        <v>261</v>
      </c>
      <c r="B262" s="1" t="s">
        <v>34</v>
      </c>
      <c r="C262" s="2">
        <v>2020</v>
      </c>
      <c r="D262" s="1" t="s">
        <v>37</v>
      </c>
      <c r="E262" s="17">
        <f t="shared" si="1"/>
        <v>149.66666666666666</v>
      </c>
      <c r="G262" s="20">
        <f>(E262-E226)/E226*100</f>
        <v>6.6001899335232554</v>
      </c>
    </row>
    <row r="263" spans="1:7" ht="15" hidden="1" thickBot="1" x14ac:dyDescent="0.4">
      <c r="A263">
        <v>262</v>
      </c>
      <c r="B263" s="1" t="s">
        <v>30</v>
      </c>
      <c r="C263" s="2">
        <v>2020</v>
      </c>
      <c r="D263" s="1" t="s">
        <v>38</v>
      </c>
      <c r="E263" s="17">
        <f t="shared" ref="E263:E264" si="2">E257+2*(E266-E257)/3</f>
        <v>151.73333333333332</v>
      </c>
      <c r="G263"/>
    </row>
    <row r="264" spans="1:7" ht="15" hidden="1" thickBot="1" x14ac:dyDescent="0.4">
      <c r="A264">
        <v>263</v>
      </c>
      <c r="B264" s="1" t="s">
        <v>33</v>
      </c>
      <c r="C264" s="2">
        <v>2020</v>
      </c>
      <c r="D264" s="1" t="s">
        <v>38</v>
      </c>
      <c r="E264" s="17">
        <f t="shared" si="2"/>
        <v>149.63333333333335</v>
      </c>
      <c r="G264"/>
    </row>
    <row r="265" spans="1:7" ht="26.5" thickBot="1" x14ac:dyDescent="0.4">
      <c r="A265">
        <v>264</v>
      </c>
      <c r="B265" s="1" t="s">
        <v>34</v>
      </c>
      <c r="C265" s="2">
        <v>2020</v>
      </c>
      <c r="D265" s="1" t="s">
        <v>38</v>
      </c>
      <c r="E265" s="16">
        <f>E259+2*(E268-E259)/3</f>
        <v>150.73333333333335</v>
      </c>
      <c r="G265" s="20">
        <f>(E265-E229)/E229*100</f>
        <v>6.1502347417840486</v>
      </c>
    </row>
    <row r="266" spans="1:7" ht="15" hidden="1" thickBot="1" x14ac:dyDescent="0.4">
      <c r="A266">
        <v>265</v>
      </c>
      <c r="B266" s="1" t="s">
        <v>30</v>
      </c>
      <c r="C266" s="2">
        <v>2020</v>
      </c>
      <c r="D266" s="1" t="s">
        <v>39</v>
      </c>
      <c r="E266" s="2">
        <v>152.69999999999999</v>
      </c>
      <c r="G266"/>
    </row>
    <row r="267" spans="1:7" ht="15" hidden="1" thickBot="1" x14ac:dyDescent="0.4">
      <c r="A267">
        <v>266</v>
      </c>
      <c r="B267" s="1" t="s">
        <v>33</v>
      </c>
      <c r="C267" s="2">
        <v>2020</v>
      </c>
      <c r="D267" s="1" t="s">
        <v>39</v>
      </c>
      <c r="E267" s="2">
        <v>150.80000000000001</v>
      </c>
      <c r="G267"/>
    </row>
    <row r="268" spans="1:7" ht="26.5" thickBot="1" x14ac:dyDescent="0.4">
      <c r="A268">
        <v>267</v>
      </c>
      <c r="B268" s="1" t="s">
        <v>34</v>
      </c>
      <c r="C268" s="2">
        <v>2020</v>
      </c>
      <c r="D268" s="1" t="s">
        <v>39</v>
      </c>
      <c r="E268" s="2">
        <v>151.80000000000001</v>
      </c>
      <c r="G268" s="20">
        <f>(E268-E232)/E232*100</f>
        <v>6.2281315605318444</v>
      </c>
    </row>
    <row r="269" spans="1:7" ht="15" hidden="1" thickBot="1" x14ac:dyDescent="0.4">
      <c r="A269">
        <v>268</v>
      </c>
      <c r="B269" s="1" t="s">
        <v>30</v>
      </c>
      <c r="C269" s="2">
        <v>2020</v>
      </c>
      <c r="D269" s="1" t="s">
        <v>40</v>
      </c>
      <c r="E269" s="2">
        <v>152.69999999999999</v>
      </c>
      <c r="G269"/>
    </row>
    <row r="270" spans="1:7" ht="15" hidden="1" thickBot="1" x14ac:dyDescent="0.4">
      <c r="A270">
        <v>269</v>
      </c>
      <c r="B270" s="1" t="s">
        <v>33</v>
      </c>
      <c r="C270" s="2">
        <v>2020</v>
      </c>
      <c r="D270" s="1" t="s">
        <v>40</v>
      </c>
      <c r="E270" s="2">
        <v>150.80000000000001</v>
      </c>
      <c r="G270"/>
    </row>
    <row r="271" spans="1:7" ht="26.5" thickBot="1" x14ac:dyDescent="0.4">
      <c r="A271">
        <v>270</v>
      </c>
      <c r="B271" s="1" t="s">
        <v>34</v>
      </c>
      <c r="C271" s="2">
        <v>2020</v>
      </c>
      <c r="D271" s="1" t="s">
        <v>40</v>
      </c>
      <c r="E271" s="2">
        <v>151.80000000000001</v>
      </c>
      <c r="G271" s="20">
        <f>(E271-E235)/E235*100</f>
        <v>5.27045769764218</v>
      </c>
    </row>
    <row r="272" spans="1:7" ht="15" hidden="1" thickBot="1" x14ac:dyDescent="0.4">
      <c r="A272">
        <v>271</v>
      </c>
      <c r="B272" s="1" t="s">
        <v>30</v>
      </c>
      <c r="C272" s="2">
        <v>2020</v>
      </c>
      <c r="D272" s="1" t="s">
        <v>41</v>
      </c>
      <c r="E272" s="2">
        <v>154.69999999999999</v>
      </c>
      <c r="G272"/>
    </row>
    <row r="273" spans="1:7" ht="15" hidden="1" thickBot="1" x14ac:dyDescent="0.4">
      <c r="A273">
        <v>272</v>
      </c>
      <c r="B273" s="1" t="s">
        <v>33</v>
      </c>
      <c r="C273" s="2">
        <v>2020</v>
      </c>
      <c r="D273" s="1" t="s">
        <v>41</v>
      </c>
      <c r="E273" s="2">
        <v>152.9</v>
      </c>
      <c r="G273"/>
    </row>
    <row r="274" spans="1:7" ht="26.5" thickBot="1" x14ac:dyDescent="0.4">
      <c r="A274">
        <v>273</v>
      </c>
      <c r="B274" s="1" t="s">
        <v>34</v>
      </c>
      <c r="C274" s="2">
        <v>2020</v>
      </c>
      <c r="D274" s="1" t="s">
        <v>41</v>
      </c>
      <c r="E274" s="2">
        <v>153.9</v>
      </c>
      <c r="G274" s="20">
        <f>(E274-E238)/E238*100</f>
        <v>6.1379310344827624</v>
      </c>
    </row>
    <row r="275" spans="1:7" ht="26.5" hidden="1" thickBot="1" x14ac:dyDescent="0.4">
      <c r="A275">
        <v>274</v>
      </c>
      <c r="B275" s="1" t="s">
        <v>30</v>
      </c>
      <c r="C275" s="2">
        <v>2020</v>
      </c>
      <c r="D275" s="1" t="s">
        <v>42</v>
      </c>
      <c r="E275" s="2">
        <v>155.4</v>
      </c>
      <c r="G275"/>
    </row>
    <row r="276" spans="1:7" ht="26.5" hidden="1" thickBot="1" x14ac:dyDescent="0.4">
      <c r="A276">
        <v>275</v>
      </c>
      <c r="B276" s="1" t="s">
        <v>33</v>
      </c>
      <c r="C276" s="2">
        <v>2020</v>
      </c>
      <c r="D276" s="1" t="s">
        <v>42</v>
      </c>
      <c r="E276" s="2">
        <v>154</v>
      </c>
      <c r="G276"/>
    </row>
    <row r="277" spans="1:7" ht="26.5" thickBot="1" x14ac:dyDescent="0.4">
      <c r="A277">
        <v>276</v>
      </c>
      <c r="B277" s="1" t="s">
        <v>34</v>
      </c>
      <c r="C277" s="2">
        <v>2020</v>
      </c>
      <c r="D277" s="1" t="s">
        <v>42</v>
      </c>
      <c r="E277" s="2">
        <v>154.69999999999999</v>
      </c>
      <c r="G277" s="20">
        <f>(E277-E241)/E241*100</f>
        <v>6.1042524005486802</v>
      </c>
    </row>
    <row r="278" spans="1:7" ht="15" hidden="1" thickBot="1" x14ac:dyDescent="0.4">
      <c r="A278">
        <v>277</v>
      </c>
      <c r="B278" s="1" t="s">
        <v>30</v>
      </c>
      <c r="C278" s="2">
        <v>2020</v>
      </c>
      <c r="D278" s="1" t="s">
        <v>43</v>
      </c>
      <c r="E278" s="2">
        <v>157.5</v>
      </c>
      <c r="G278"/>
    </row>
    <row r="279" spans="1:7" ht="15" hidden="1" thickBot="1" x14ac:dyDescent="0.4">
      <c r="A279">
        <v>278</v>
      </c>
      <c r="B279" s="1" t="s">
        <v>33</v>
      </c>
      <c r="C279" s="2">
        <v>2020</v>
      </c>
      <c r="D279" s="1" t="s">
        <v>43</v>
      </c>
      <c r="E279" s="2">
        <v>155.19999999999999</v>
      </c>
      <c r="G279"/>
    </row>
    <row r="280" spans="1:7" ht="26.5" thickBot="1" x14ac:dyDescent="0.4">
      <c r="A280">
        <v>279</v>
      </c>
      <c r="B280" s="1" t="s">
        <v>34</v>
      </c>
      <c r="C280" s="2">
        <v>2020</v>
      </c>
      <c r="D280" s="1" t="s">
        <v>43</v>
      </c>
      <c r="E280" s="2">
        <v>156.4</v>
      </c>
      <c r="G280" s="20">
        <f>(E280-E244)/E244*100</f>
        <v>6.2500000000000124</v>
      </c>
    </row>
    <row r="281" spans="1:7" ht="26.5" hidden="1" thickBot="1" x14ac:dyDescent="0.4">
      <c r="A281">
        <v>280</v>
      </c>
      <c r="B281" s="1" t="s">
        <v>30</v>
      </c>
      <c r="C281" s="2">
        <v>2020</v>
      </c>
      <c r="D281" s="1" t="s">
        <v>44</v>
      </c>
      <c r="E281" s="2">
        <v>159.80000000000001</v>
      </c>
      <c r="G281"/>
    </row>
    <row r="282" spans="1:7" ht="26.5" hidden="1" thickBot="1" x14ac:dyDescent="0.4">
      <c r="A282">
        <v>281</v>
      </c>
      <c r="B282" s="1" t="s">
        <v>33</v>
      </c>
      <c r="C282" s="2">
        <v>2020</v>
      </c>
      <c r="D282" s="1" t="s">
        <v>44</v>
      </c>
      <c r="E282" s="2">
        <v>156.69999999999999</v>
      </c>
      <c r="G282"/>
    </row>
    <row r="283" spans="1:7" ht="26.5" thickBot="1" x14ac:dyDescent="0.4">
      <c r="A283">
        <v>282</v>
      </c>
      <c r="B283" s="1" t="s">
        <v>34</v>
      </c>
      <c r="C283" s="2">
        <v>2020</v>
      </c>
      <c r="D283" s="1" t="s">
        <v>44</v>
      </c>
      <c r="E283" s="2">
        <v>158.4</v>
      </c>
      <c r="G283" s="20">
        <f>(E283-E247)/E247*100</f>
        <v>6.594885598923292</v>
      </c>
    </row>
    <row r="284" spans="1:7" ht="26.5" hidden="1" thickBot="1" x14ac:dyDescent="0.4">
      <c r="A284">
        <v>283</v>
      </c>
      <c r="B284" s="1" t="s">
        <v>30</v>
      </c>
      <c r="C284" s="2">
        <v>2020</v>
      </c>
      <c r="D284" s="1" t="s">
        <v>45</v>
      </c>
      <c r="E284" s="2">
        <v>160.69999999999999</v>
      </c>
      <c r="G284"/>
    </row>
    <row r="285" spans="1:7" ht="26.5" hidden="1" thickBot="1" x14ac:dyDescent="0.4">
      <c r="A285">
        <v>284</v>
      </c>
      <c r="B285" s="1" t="s">
        <v>33</v>
      </c>
      <c r="C285" s="2">
        <v>2020</v>
      </c>
      <c r="D285" s="1" t="s">
        <v>45</v>
      </c>
      <c r="E285" s="2">
        <v>156.9</v>
      </c>
      <c r="G285"/>
    </row>
    <row r="286" spans="1:7" ht="26.5" thickBot="1" x14ac:dyDescent="0.4">
      <c r="A286">
        <v>285</v>
      </c>
      <c r="B286" s="1" t="s">
        <v>34</v>
      </c>
      <c r="C286" s="2">
        <v>2020</v>
      </c>
      <c r="D286" s="1" t="s">
        <v>45</v>
      </c>
      <c r="E286" s="2">
        <v>158.9</v>
      </c>
      <c r="G286" s="20">
        <f>(E286-E250)/E250*100</f>
        <v>5.6515957446808507</v>
      </c>
    </row>
    <row r="287" spans="1:7" ht="15" hidden="1" thickBot="1" x14ac:dyDescent="0.4">
      <c r="A287">
        <v>286</v>
      </c>
      <c r="B287" s="1" t="s">
        <v>30</v>
      </c>
      <c r="C287" s="2">
        <v>2021</v>
      </c>
      <c r="D287" s="1" t="s">
        <v>31</v>
      </c>
      <c r="E287" s="2">
        <v>158.5</v>
      </c>
      <c r="G287"/>
    </row>
    <row r="288" spans="1:7" ht="15" hidden="1" thickBot="1" x14ac:dyDescent="0.4">
      <c r="A288">
        <v>287</v>
      </c>
      <c r="B288" s="1" t="s">
        <v>33</v>
      </c>
      <c r="C288" s="2">
        <v>2021</v>
      </c>
      <c r="D288" s="1" t="s">
        <v>31</v>
      </c>
      <c r="E288" s="2">
        <v>156</v>
      </c>
      <c r="G288"/>
    </row>
    <row r="289" spans="1:7" ht="26.5" thickBot="1" x14ac:dyDescent="0.4">
      <c r="A289">
        <v>288</v>
      </c>
      <c r="B289" s="1" t="s">
        <v>34</v>
      </c>
      <c r="C289" s="2">
        <v>2021</v>
      </c>
      <c r="D289" s="1" t="s">
        <v>31</v>
      </c>
      <c r="E289" s="2">
        <v>157.30000000000001</v>
      </c>
      <c r="G289" s="20">
        <f>(E289-E253)/E253*100</f>
        <v>4.7270306258322385</v>
      </c>
    </row>
    <row r="290" spans="1:7" ht="15" hidden="1" thickBot="1" x14ac:dyDescent="0.4">
      <c r="A290">
        <v>289</v>
      </c>
      <c r="B290" s="1" t="s">
        <v>30</v>
      </c>
      <c r="C290" s="2">
        <v>2021</v>
      </c>
      <c r="D290" s="1" t="s">
        <v>35</v>
      </c>
      <c r="E290" s="2">
        <v>156.69999999999999</v>
      </c>
      <c r="G290"/>
    </row>
    <row r="291" spans="1:7" ht="15" hidden="1" thickBot="1" x14ac:dyDescent="0.4">
      <c r="A291">
        <v>290</v>
      </c>
      <c r="B291" s="1" t="s">
        <v>33</v>
      </c>
      <c r="C291" s="2">
        <v>2021</v>
      </c>
      <c r="D291" s="1" t="s">
        <v>35</v>
      </c>
      <c r="E291" s="2">
        <v>156.5</v>
      </c>
      <c r="G291"/>
    </row>
    <row r="292" spans="1:7" ht="26.5" thickBot="1" x14ac:dyDescent="0.4">
      <c r="A292">
        <v>291</v>
      </c>
      <c r="B292" s="1" t="s">
        <v>34</v>
      </c>
      <c r="C292" s="2">
        <v>2021</v>
      </c>
      <c r="D292" s="1" t="s">
        <v>35</v>
      </c>
      <c r="E292" s="2">
        <v>156.6</v>
      </c>
      <c r="G292" s="20">
        <f>(E292-E256)/E256*100</f>
        <v>5.0301810865191152</v>
      </c>
    </row>
    <row r="293" spans="1:7" ht="15" hidden="1" thickBot="1" x14ac:dyDescent="0.4">
      <c r="A293">
        <v>292</v>
      </c>
      <c r="B293" s="1" t="s">
        <v>30</v>
      </c>
      <c r="C293" s="2">
        <v>2021</v>
      </c>
      <c r="D293" s="1" t="s">
        <v>36</v>
      </c>
      <c r="E293" s="2">
        <v>156.69999999999999</v>
      </c>
      <c r="G293"/>
    </row>
    <row r="294" spans="1:7" ht="15" hidden="1" thickBot="1" x14ac:dyDescent="0.4">
      <c r="A294">
        <v>293</v>
      </c>
      <c r="B294" s="1" t="s">
        <v>33</v>
      </c>
      <c r="C294" s="2">
        <v>2021</v>
      </c>
      <c r="D294" s="1" t="s">
        <v>36</v>
      </c>
      <c r="E294" s="2">
        <v>156.9</v>
      </c>
      <c r="G294"/>
    </row>
    <row r="295" spans="1:7" ht="26.5" thickBot="1" x14ac:dyDescent="0.4">
      <c r="A295">
        <v>294</v>
      </c>
      <c r="B295" s="1" t="s">
        <v>34</v>
      </c>
      <c r="C295" s="2">
        <v>2021</v>
      </c>
      <c r="D295" s="1" t="s">
        <v>36</v>
      </c>
      <c r="E295" s="2">
        <v>156.80000000000001</v>
      </c>
      <c r="G295" s="20">
        <f>(E295-E259)/E259*100</f>
        <v>5.5181695827725559</v>
      </c>
    </row>
    <row r="296" spans="1:7" ht="15" hidden="1" thickBot="1" x14ac:dyDescent="0.4">
      <c r="A296">
        <v>295</v>
      </c>
      <c r="B296" s="1" t="s">
        <v>30</v>
      </c>
      <c r="C296" s="2">
        <v>2021</v>
      </c>
      <c r="D296" s="1" t="s">
        <v>37</v>
      </c>
      <c r="E296" s="2">
        <v>157.6</v>
      </c>
      <c r="G296"/>
    </row>
    <row r="297" spans="1:7" ht="15" hidden="1" thickBot="1" x14ac:dyDescent="0.4">
      <c r="A297">
        <v>296</v>
      </c>
      <c r="B297" s="1" t="s">
        <v>33</v>
      </c>
      <c r="C297" s="2">
        <v>2021</v>
      </c>
      <c r="D297" s="1" t="s">
        <v>37</v>
      </c>
      <c r="E297" s="2">
        <v>158</v>
      </c>
      <c r="G297"/>
    </row>
    <row r="298" spans="1:7" ht="26.5" thickBot="1" x14ac:dyDescent="0.4">
      <c r="A298">
        <v>297</v>
      </c>
      <c r="B298" s="1" t="s">
        <v>34</v>
      </c>
      <c r="C298" s="2">
        <v>2021</v>
      </c>
      <c r="D298" s="1" t="s">
        <v>37</v>
      </c>
      <c r="E298" s="2">
        <v>157.80000000000001</v>
      </c>
      <c r="G298" s="20">
        <f>(E298-E262)/E262*100</f>
        <v>5.4342984409799699</v>
      </c>
    </row>
    <row r="299" spans="1:7" ht="15" hidden="1" thickBot="1" x14ac:dyDescent="0.4">
      <c r="A299">
        <v>298</v>
      </c>
      <c r="B299" s="1" t="s">
        <v>30</v>
      </c>
      <c r="C299" s="2">
        <v>2021</v>
      </c>
      <c r="D299" s="1" t="s">
        <v>38</v>
      </c>
      <c r="E299" s="2">
        <v>161.1</v>
      </c>
      <c r="G299"/>
    </row>
    <row r="300" spans="1:7" ht="15" hidden="1" thickBot="1" x14ac:dyDescent="0.4">
      <c r="A300">
        <v>299</v>
      </c>
      <c r="B300" s="1" t="s">
        <v>33</v>
      </c>
      <c r="C300" s="2">
        <v>2021</v>
      </c>
      <c r="D300" s="1" t="s">
        <v>38</v>
      </c>
      <c r="E300" s="2">
        <v>159.5</v>
      </c>
      <c r="G300"/>
    </row>
    <row r="301" spans="1:7" ht="26.5" thickBot="1" x14ac:dyDescent="0.4">
      <c r="A301">
        <v>300</v>
      </c>
      <c r="B301" s="1" t="s">
        <v>34</v>
      </c>
      <c r="C301" s="2">
        <v>2021</v>
      </c>
      <c r="D301" s="1" t="s">
        <v>38</v>
      </c>
      <c r="E301" s="2">
        <v>160.4</v>
      </c>
      <c r="G301" s="20">
        <f>(E301-E265)/E265*100</f>
        <v>6.4130915524104308</v>
      </c>
    </row>
    <row r="302" spans="1:7" ht="15" hidden="1" thickBot="1" x14ac:dyDescent="0.4">
      <c r="A302">
        <v>301</v>
      </c>
      <c r="B302" s="1" t="s">
        <v>30</v>
      </c>
      <c r="C302" s="2">
        <v>2021</v>
      </c>
      <c r="D302" s="1" t="s">
        <v>39</v>
      </c>
      <c r="E302" s="2">
        <v>162.1</v>
      </c>
      <c r="G302"/>
    </row>
    <row r="303" spans="1:7" ht="15" hidden="1" thickBot="1" x14ac:dyDescent="0.4">
      <c r="A303">
        <v>302</v>
      </c>
      <c r="B303" s="1" t="s">
        <v>33</v>
      </c>
      <c r="C303" s="2">
        <v>2021</v>
      </c>
      <c r="D303" s="1" t="s">
        <v>39</v>
      </c>
      <c r="E303" s="2">
        <v>160.4</v>
      </c>
      <c r="G303"/>
    </row>
    <row r="304" spans="1:7" ht="26.5" thickBot="1" x14ac:dyDescent="0.4">
      <c r="A304">
        <v>303</v>
      </c>
      <c r="B304" s="1" t="s">
        <v>34</v>
      </c>
      <c r="C304" s="2">
        <v>2021</v>
      </c>
      <c r="D304" s="1" t="s">
        <v>39</v>
      </c>
      <c r="E304" s="2">
        <v>161.30000000000001</v>
      </c>
      <c r="G304" s="20">
        <f>(E304-E268)/E268*100</f>
        <v>6.2582345191040831</v>
      </c>
    </row>
    <row r="305" spans="1:7" ht="15" hidden="1" thickBot="1" x14ac:dyDescent="0.4">
      <c r="A305">
        <v>304</v>
      </c>
      <c r="B305" s="1" t="s">
        <v>30</v>
      </c>
      <c r="C305" s="2">
        <v>2021</v>
      </c>
      <c r="D305" s="1" t="s">
        <v>40</v>
      </c>
      <c r="E305" s="2">
        <v>163.19999999999999</v>
      </c>
      <c r="G305"/>
    </row>
    <row r="306" spans="1:7" ht="15" hidden="1" thickBot="1" x14ac:dyDescent="0.4">
      <c r="A306">
        <v>305</v>
      </c>
      <c r="B306" s="1" t="s">
        <v>33</v>
      </c>
      <c r="C306" s="2">
        <v>2021</v>
      </c>
      <c r="D306" s="1" t="s">
        <v>40</v>
      </c>
      <c r="E306" s="2">
        <v>161.80000000000001</v>
      </c>
      <c r="G306"/>
    </row>
    <row r="307" spans="1:7" ht="26.5" thickBot="1" x14ac:dyDescent="0.4">
      <c r="A307">
        <v>306</v>
      </c>
      <c r="B307" s="1" t="s">
        <v>34</v>
      </c>
      <c r="C307" s="2">
        <v>2021</v>
      </c>
      <c r="D307" s="1" t="s">
        <v>40</v>
      </c>
      <c r="E307" s="2">
        <v>162.5</v>
      </c>
      <c r="G307" s="20">
        <f>(E307-E271)/E271*100</f>
        <v>7.0487483530961708</v>
      </c>
    </row>
    <row r="308" spans="1:7" ht="15" hidden="1" thickBot="1" x14ac:dyDescent="0.4">
      <c r="A308">
        <v>307</v>
      </c>
      <c r="B308" s="1" t="s">
        <v>30</v>
      </c>
      <c r="C308" s="2">
        <v>2021</v>
      </c>
      <c r="D308" s="1" t="s">
        <v>41</v>
      </c>
      <c r="E308" s="2">
        <v>163.6</v>
      </c>
      <c r="G308"/>
    </row>
    <row r="309" spans="1:7" ht="15" hidden="1" thickBot="1" x14ac:dyDescent="0.4">
      <c r="A309">
        <v>308</v>
      </c>
      <c r="B309" s="1" t="s">
        <v>33</v>
      </c>
      <c r="C309" s="2">
        <v>2021</v>
      </c>
      <c r="D309" s="1" t="s">
        <v>41</v>
      </c>
      <c r="E309" s="2">
        <v>162.30000000000001</v>
      </c>
      <c r="G309"/>
    </row>
    <row r="310" spans="1:7" ht="26.5" thickBot="1" x14ac:dyDescent="0.4">
      <c r="A310">
        <v>309</v>
      </c>
      <c r="B310" s="1" t="s">
        <v>34</v>
      </c>
      <c r="C310" s="2">
        <v>2021</v>
      </c>
      <c r="D310" s="1" t="s">
        <v>41</v>
      </c>
      <c r="E310" s="2">
        <v>163.19999999999999</v>
      </c>
      <c r="G310" s="20">
        <f>(E310-E274)/E274*100</f>
        <v>6.0428849902534001</v>
      </c>
    </row>
    <row r="311" spans="1:7" ht="26.5" hidden="1" thickBot="1" x14ac:dyDescent="0.4">
      <c r="A311">
        <v>310</v>
      </c>
      <c r="B311" s="1" t="s">
        <v>30</v>
      </c>
      <c r="C311" s="2">
        <v>2021</v>
      </c>
      <c r="D311" s="1" t="s">
        <v>42</v>
      </c>
      <c r="E311" s="2">
        <v>164</v>
      </c>
      <c r="G311"/>
    </row>
    <row r="312" spans="1:7" ht="26.5" hidden="1" thickBot="1" x14ac:dyDescent="0.4">
      <c r="A312">
        <v>311</v>
      </c>
      <c r="B312" s="1" t="s">
        <v>33</v>
      </c>
      <c r="C312" s="2">
        <v>2021</v>
      </c>
      <c r="D312" s="1" t="s">
        <v>42</v>
      </c>
      <c r="E312" s="2">
        <v>162.30000000000001</v>
      </c>
      <c r="G312"/>
    </row>
    <row r="313" spans="1:7" ht="26.5" thickBot="1" x14ac:dyDescent="0.4">
      <c r="A313">
        <v>312</v>
      </c>
      <c r="B313" s="1" t="s">
        <v>34</v>
      </c>
      <c r="C313" s="2">
        <v>2021</v>
      </c>
      <c r="D313" s="1" t="s">
        <v>42</v>
      </c>
      <c r="E313" s="2">
        <v>163.19999999999999</v>
      </c>
      <c r="G313" s="20">
        <f>(E313-E277)/E277*100</f>
        <v>5.4945054945054954</v>
      </c>
    </row>
    <row r="314" spans="1:7" ht="15" hidden="1" thickBot="1" x14ac:dyDescent="0.4">
      <c r="A314">
        <v>313</v>
      </c>
      <c r="B314" s="1" t="s">
        <v>30</v>
      </c>
      <c r="C314" s="2">
        <v>2021</v>
      </c>
      <c r="D314" s="1" t="s">
        <v>43</v>
      </c>
      <c r="E314" s="2">
        <v>166.3</v>
      </c>
      <c r="G314"/>
    </row>
    <row r="315" spans="1:7" ht="15" hidden="1" thickBot="1" x14ac:dyDescent="0.4">
      <c r="A315">
        <v>314</v>
      </c>
      <c r="B315" s="1" t="s">
        <v>33</v>
      </c>
      <c r="C315" s="2">
        <v>2021</v>
      </c>
      <c r="D315" s="1" t="s">
        <v>43</v>
      </c>
      <c r="E315" s="2">
        <v>164.6</v>
      </c>
      <c r="G315"/>
    </row>
    <row r="316" spans="1:7" ht="26.5" thickBot="1" x14ac:dyDescent="0.4">
      <c r="A316">
        <v>315</v>
      </c>
      <c r="B316" s="1" t="s">
        <v>34</v>
      </c>
      <c r="C316" s="2">
        <v>2021</v>
      </c>
      <c r="D316" s="1" t="s">
        <v>43</v>
      </c>
      <c r="E316" s="2">
        <v>165.5</v>
      </c>
      <c r="G316" s="20">
        <f>(E316-E280)/E280*100</f>
        <v>5.8184143222506357</v>
      </c>
    </row>
    <row r="317" spans="1:7" ht="26.5" hidden="1" thickBot="1" x14ac:dyDescent="0.4">
      <c r="A317">
        <v>316</v>
      </c>
      <c r="B317" s="1" t="s">
        <v>30</v>
      </c>
      <c r="C317" s="2">
        <v>2021</v>
      </c>
      <c r="D317" s="1" t="s">
        <v>44</v>
      </c>
      <c r="E317" s="2">
        <v>167.6</v>
      </c>
      <c r="G317"/>
    </row>
    <row r="318" spans="1:7" ht="26.5" hidden="1" thickBot="1" x14ac:dyDescent="0.4">
      <c r="A318">
        <v>317</v>
      </c>
      <c r="B318" s="1" t="s">
        <v>33</v>
      </c>
      <c r="C318" s="2">
        <v>2021</v>
      </c>
      <c r="D318" s="1" t="s">
        <v>44</v>
      </c>
      <c r="E318" s="2">
        <v>165.6</v>
      </c>
      <c r="G318"/>
    </row>
    <row r="319" spans="1:7" ht="26.5" thickBot="1" x14ac:dyDescent="0.4">
      <c r="A319">
        <v>318</v>
      </c>
      <c r="B319" s="1" t="s">
        <v>34</v>
      </c>
      <c r="C319" s="2">
        <v>2021</v>
      </c>
      <c r="D319" s="1" t="s">
        <v>44</v>
      </c>
      <c r="E319" s="2">
        <v>166.7</v>
      </c>
      <c r="G319" s="20">
        <f>(E319-E283)/E283*100</f>
        <v>5.239898989898979</v>
      </c>
    </row>
    <row r="320" spans="1:7" ht="26.5" hidden="1" thickBot="1" x14ac:dyDescent="0.4">
      <c r="A320">
        <v>319</v>
      </c>
      <c r="B320" s="1" t="s">
        <v>30</v>
      </c>
      <c r="C320" s="2">
        <v>2021</v>
      </c>
      <c r="D320" s="1" t="s">
        <v>45</v>
      </c>
      <c r="E320" s="2">
        <v>167</v>
      </c>
      <c r="G320"/>
    </row>
    <row r="321" spans="1:7" ht="26.5" hidden="1" thickBot="1" x14ac:dyDescent="0.4">
      <c r="A321">
        <v>320</v>
      </c>
      <c r="B321" s="1" t="s">
        <v>33</v>
      </c>
      <c r="C321" s="2">
        <v>2021</v>
      </c>
      <c r="D321" s="1" t="s">
        <v>45</v>
      </c>
      <c r="E321" s="2">
        <v>165.2</v>
      </c>
      <c r="G321"/>
    </row>
    <row r="322" spans="1:7" ht="26.5" thickBot="1" x14ac:dyDescent="0.4">
      <c r="A322">
        <v>321</v>
      </c>
      <c r="B322" s="1" t="s">
        <v>34</v>
      </c>
      <c r="C322" s="2">
        <v>2021</v>
      </c>
      <c r="D322" s="1" t="s">
        <v>45</v>
      </c>
      <c r="E322" s="2">
        <v>166.2</v>
      </c>
      <c r="G322" s="20">
        <f>(E322-E286)/E286*100</f>
        <v>4.5940843297671385</v>
      </c>
    </row>
    <row r="323" spans="1:7" ht="15" hidden="1" thickBot="1" x14ac:dyDescent="0.4">
      <c r="A323">
        <v>322</v>
      </c>
      <c r="B323" s="1" t="s">
        <v>30</v>
      </c>
      <c r="C323" s="2">
        <v>2022</v>
      </c>
      <c r="D323" s="1" t="s">
        <v>31</v>
      </c>
      <c r="E323" s="2">
        <v>166.4</v>
      </c>
      <c r="G323"/>
    </row>
    <row r="324" spans="1:7" ht="15" hidden="1" thickBot="1" x14ac:dyDescent="0.4">
      <c r="A324">
        <v>323</v>
      </c>
      <c r="B324" s="1" t="s">
        <v>33</v>
      </c>
      <c r="C324" s="2">
        <v>2022</v>
      </c>
      <c r="D324" s="1" t="s">
        <v>31</v>
      </c>
      <c r="E324" s="2">
        <v>165</v>
      </c>
      <c r="G324"/>
    </row>
    <row r="325" spans="1:7" ht="26.5" thickBot="1" x14ac:dyDescent="0.4">
      <c r="A325">
        <v>324</v>
      </c>
      <c r="B325" s="1" t="s">
        <v>34</v>
      </c>
      <c r="C325" s="2">
        <v>2022</v>
      </c>
      <c r="D325" s="1" t="s">
        <v>31</v>
      </c>
      <c r="E325" s="2">
        <v>165.7</v>
      </c>
      <c r="G325" s="20">
        <f>(E325-E289)/E289*100</f>
        <v>5.3401144310235074</v>
      </c>
    </row>
    <row r="326" spans="1:7" ht="15" hidden="1" thickBot="1" x14ac:dyDescent="0.4">
      <c r="A326">
        <v>325</v>
      </c>
      <c r="B326" s="1" t="s">
        <v>30</v>
      </c>
      <c r="C326" s="2">
        <v>2022</v>
      </c>
      <c r="D326" s="1" t="s">
        <v>35</v>
      </c>
      <c r="E326" s="2">
        <v>166.7</v>
      </c>
      <c r="G326"/>
    </row>
    <row r="327" spans="1:7" ht="15" hidden="1" thickBot="1" x14ac:dyDescent="0.4">
      <c r="A327">
        <v>326</v>
      </c>
      <c r="B327" s="1" t="s">
        <v>33</v>
      </c>
      <c r="C327" s="2">
        <v>2022</v>
      </c>
      <c r="D327" s="1" t="s">
        <v>35</v>
      </c>
      <c r="E327" s="2">
        <v>165.5</v>
      </c>
      <c r="G327"/>
    </row>
    <row r="328" spans="1:7" ht="26.5" thickBot="1" x14ac:dyDescent="0.4">
      <c r="A328">
        <v>327</v>
      </c>
      <c r="B328" s="1" t="s">
        <v>34</v>
      </c>
      <c r="C328" s="2">
        <v>2022</v>
      </c>
      <c r="D328" s="1" t="s">
        <v>35</v>
      </c>
      <c r="E328" s="2">
        <v>166.1</v>
      </c>
      <c r="G328" s="20">
        <f>(E328-E292)/E292*100</f>
        <v>6.0664112388250322</v>
      </c>
    </row>
    <row r="329" spans="1:7" ht="15" hidden="1" thickBot="1" x14ac:dyDescent="0.4">
      <c r="A329">
        <v>328</v>
      </c>
      <c r="B329" s="1" t="s">
        <v>30</v>
      </c>
      <c r="C329" s="2">
        <v>2022</v>
      </c>
      <c r="D329" s="1" t="s">
        <v>36</v>
      </c>
      <c r="E329" s="2">
        <v>168.7</v>
      </c>
      <c r="G329"/>
    </row>
    <row r="330" spans="1:7" ht="15" hidden="1" thickBot="1" x14ac:dyDescent="0.4">
      <c r="A330">
        <v>329</v>
      </c>
      <c r="B330" s="1" t="s">
        <v>33</v>
      </c>
      <c r="C330" s="2">
        <v>2022</v>
      </c>
      <c r="D330" s="1" t="s">
        <v>36</v>
      </c>
      <c r="E330" s="2">
        <v>166.5</v>
      </c>
      <c r="G330"/>
    </row>
    <row r="331" spans="1:7" ht="26.5" thickBot="1" x14ac:dyDescent="0.4">
      <c r="A331">
        <v>330</v>
      </c>
      <c r="B331" s="1" t="s">
        <v>34</v>
      </c>
      <c r="C331" s="2">
        <v>2022</v>
      </c>
      <c r="D331" s="1" t="s">
        <v>36</v>
      </c>
      <c r="E331" s="2">
        <v>167.7</v>
      </c>
      <c r="G331" s="20">
        <f>(E331-E295)/E295*100</f>
        <v>6.9515306122448823</v>
      </c>
    </row>
    <row r="332" spans="1:7" ht="15" hidden="1" thickBot="1" x14ac:dyDescent="0.4">
      <c r="A332">
        <v>331</v>
      </c>
      <c r="B332" s="1" t="s">
        <v>30</v>
      </c>
      <c r="C332" s="2">
        <v>2022</v>
      </c>
      <c r="D332" s="1" t="s">
        <v>37</v>
      </c>
      <c r="E332" s="2">
        <v>170.8</v>
      </c>
      <c r="G332"/>
    </row>
    <row r="333" spans="1:7" ht="15" hidden="1" thickBot="1" x14ac:dyDescent="0.4">
      <c r="A333">
        <v>332</v>
      </c>
      <c r="B333" s="1" t="s">
        <v>33</v>
      </c>
      <c r="C333" s="2">
        <v>2022</v>
      </c>
      <c r="D333" s="1" t="s">
        <v>37</v>
      </c>
      <c r="E333" s="2">
        <v>169.2</v>
      </c>
      <c r="G333"/>
    </row>
    <row r="334" spans="1:7" ht="26.5" thickBot="1" x14ac:dyDescent="0.4">
      <c r="A334">
        <v>333</v>
      </c>
      <c r="B334" s="1" t="s">
        <v>34</v>
      </c>
      <c r="C334" s="2">
        <v>2022</v>
      </c>
      <c r="D334" s="1" t="s">
        <v>37</v>
      </c>
      <c r="E334" s="2">
        <v>170.1</v>
      </c>
      <c r="G334" s="20">
        <f>(E334-E298)/E298*100</f>
        <v>7.7946768060836389</v>
      </c>
    </row>
    <row r="335" spans="1:7" ht="15" hidden="1" thickBot="1" x14ac:dyDescent="0.4">
      <c r="A335">
        <v>334</v>
      </c>
      <c r="B335" s="1" t="s">
        <v>30</v>
      </c>
      <c r="C335" s="2">
        <v>2022</v>
      </c>
      <c r="D335" s="1" t="s">
        <v>38</v>
      </c>
      <c r="E335" s="2">
        <v>172.5</v>
      </c>
      <c r="G335"/>
    </row>
    <row r="336" spans="1:7" ht="15" hidden="1" thickBot="1" x14ac:dyDescent="0.4">
      <c r="A336">
        <v>335</v>
      </c>
      <c r="B336" s="1" t="s">
        <v>33</v>
      </c>
      <c r="C336" s="2">
        <v>2022</v>
      </c>
      <c r="D336" s="1" t="s">
        <v>38</v>
      </c>
      <c r="E336" s="2">
        <v>170.8</v>
      </c>
      <c r="G336"/>
    </row>
    <row r="337" spans="1:7" ht="26.5" thickBot="1" x14ac:dyDescent="0.4">
      <c r="A337">
        <v>336</v>
      </c>
      <c r="B337" s="1" t="s">
        <v>34</v>
      </c>
      <c r="C337" s="2">
        <v>2022</v>
      </c>
      <c r="D337" s="1" t="s">
        <v>38</v>
      </c>
      <c r="E337" s="2">
        <v>171.7</v>
      </c>
      <c r="G337" s="20">
        <f>(E337-E301)/E301*100</f>
        <v>7.044887780548617</v>
      </c>
    </row>
    <row r="338" spans="1:7" ht="15" hidden="1" thickBot="1" x14ac:dyDescent="0.4">
      <c r="A338">
        <v>337</v>
      </c>
      <c r="B338" s="1" t="s">
        <v>30</v>
      </c>
      <c r="C338" s="2">
        <v>2022</v>
      </c>
      <c r="D338" s="1" t="s">
        <v>39</v>
      </c>
      <c r="E338" s="2">
        <v>173.6</v>
      </c>
      <c r="G338"/>
    </row>
    <row r="339" spans="1:7" ht="15" hidden="1" thickBot="1" x14ac:dyDescent="0.4">
      <c r="A339">
        <v>338</v>
      </c>
      <c r="B339" s="1" t="s">
        <v>33</v>
      </c>
      <c r="C339" s="2">
        <v>2022</v>
      </c>
      <c r="D339" s="1" t="s">
        <v>39</v>
      </c>
      <c r="E339" s="2">
        <v>171.4</v>
      </c>
      <c r="G339"/>
    </row>
    <row r="340" spans="1:7" ht="26.5" thickBot="1" x14ac:dyDescent="0.4">
      <c r="A340">
        <v>339</v>
      </c>
      <c r="B340" s="1" t="s">
        <v>34</v>
      </c>
      <c r="C340" s="2">
        <v>2022</v>
      </c>
      <c r="D340" s="1" t="s">
        <v>39</v>
      </c>
      <c r="E340" s="2">
        <v>172.6</v>
      </c>
      <c r="G340" s="20">
        <f>(E340-E304)/E304*100</f>
        <v>7.0055796652200755</v>
      </c>
    </row>
    <row r="341" spans="1:7" ht="15" hidden="1" thickBot="1" x14ac:dyDescent="0.4">
      <c r="A341">
        <v>340</v>
      </c>
      <c r="B341" s="1" t="s">
        <v>30</v>
      </c>
      <c r="C341" s="2">
        <v>2022</v>
      </c>
      <c r="D341" s="1" t="s">
        <v>40</v>
      </c>
      <c r="E341" s="2">
        <v>174.3</v>
      </c>
      <c r="G341"/>
    </row>
    <row r="342" spans="1:7" ht="15" hidden="1" thickBot="1" x14ac:dyDescent="0.4">
      <c r="A342">
        <v>341</v>
      </c>
      <c r="B342" s="1" t="s">
        <v>33</v>
      </c>
      <c r="C342" s="2">
        <v>2022</v>
      </c>
      <c r="D342" s="1" t="s">
        <v>40</v>
      </c>
      <c r="E342" s="2">
        <v>172.3</v>
      </c>
      <c r="G342"/>
    </row>
    <row r="343" spans="1:7" ht="26.5" thickBot="1" x14ac:dyDescent="0.4">
      <c r="A343">
        <v>342</v>
      </c>
      <c r="B343" s="1" t="s">
        <v>34</v>
      </c>
      <c r="C343" s="2">
        <v>2022</v>
      </c>
      <c r="D343" s="1" t="s">
        <v>40</v>
      </c>
      <c r="E343" s="2">
        <v>173.4</v>
      </c>
      <c r="G343" s="20">
        <f>(E343-E307)/E307*100</f>
        <v>6.7076923076923114</v>
      </c>
    </row>
    <row r="344" spans="1:7" ht="15" hidden="1" thickBot="1" x14ac:dyDescent="0.4">
      <c r="A344">
        <v>343</v>
      </c>
      <c r="B344" s="1" t="s">
        <v>30</v>
      </c>
      <c r="C344" s="2">
        <v>2022</v>
      </c>
      <c r="D344" s="1" t="s">
        <v>41</v>
      </c>
      <c r="E344" s="2">
        <v>175.3</v>
      </c>
      <c r="G344"/>
    </row>
    <row r="345" spans="1:7" ht="15" hidden="1" thickBot="1" x14ac:dyDescent="0.4">
      <c r="A345">
        <v>344</v>
      </c>
      <c r="B345" s="1" t="s">
        <v>33</v>
      </c>
      <c r="C345" s="2">
        <v>2022</v>
      </c>
      <c r="D345" s="1" t="s">
        <v>41</v>
      </c>
      <c r="E345" s="2">
        <v>173.1</v>
      </c>
      <c r="G345"/>
    </row>
    <row r="346" spans="1:7" ht="26.5" thickBot="1" x14ac:dyDescent="0.4">
      <c r="A346">
        <v>345</v>
      </c>
      <c r="B346" s="1" t="s">
        <v>34</v>
      </c>
      <c r="C346" s="2">
        <v>2022</v>
      </c>
      <c r="D346" s="1" t="s">
        <v>41</v>
      </c>
      <c r="E346" s="2">
        <v>174.3</v>
      </c>
      <c r="G346" s="20">
        <f>(E346-E310)/E310*100</f>
        <v>6.8014705882353086</v>
      </c>
    </row>
    <row r="347" spans="1:7" ht="26.5" hidden="1" thickBot="1" x14ac:dyDescent="0.4">
      <c r="A347">
        <v>346</v>
      </c>
      <c r="B347" s="1" t="s">
        <v>30</v>
      </c>
      <c r="C347" s="2">
        <v>2022</v>
      </c>
      <c r="D347" s="1" t="s">
        <v>42</v>
      </c>
      <c r="E347" s="2">
        <v>176.4</v>
      </c>
      <c r="G347"/>
    </row>
    <row r="348" spans="1:7" ht="26.5" hidden="1" thickBot="1" x14ac:dyDescent="0.4">
      <c r="A348">
        <v>347</v>
      </c>
      <c r="B348" s="1" t="s">
        <v>33</v>
      </c>
      <c r="C348" s="2">
        <v>2022</v>
      </c>
      <c r="D348" s="1" t="s">
        <v>42</v>
      </c>
      <c r="E348" s="2">
        <v>174.1</v>
      </c>
      <c r="G348"/>
    </row>
    <row r="349" spans="1:7" ht="26.5" thickBot="1" x14ac:dyDescent="0.4">
      <c r="A349">
        <v>348</v>
      </c>
      <c r="B349" s="1" t="s">
        <v>34</v>
      </c>
      <c r="C349" s="2">
        <v>2022</v>
      </c>
      <c r="D349" s="1" t="s">
        <v>42</v>
      </c>
      <c r="E349" s="2">
        <v>175.3</v>
      </c>
      <c r="G349" s="20">
        <f>(E349-E313)/E313*100</f>
        <v>7.4142156862745239</v>
      </c>
    </row>
    <row r="350" spans="1:7" ht="15" hidden="1" thickBot="1" x14ac:dyDescent="0.4">
      <c r="A350">
        <v>349</v>
      </c>
      <c r="B350" s="1" t="s">
        <v>30</v>
      </c>
      <c r="C350" s="2">
        <v>2022</v>
      </c>
      <c r="D350" s="1" t="s">
        <v>43</v>
      </c>
      <c r="E350" s="2">
        <v>177.9</v>
      </c>
      <c r="G350"/>
    </row>
    <row r="351" spans="1:7" ht="15" hidden="1" thickBot="1" x14ac:dyDescent="0.4">
      <c r="A351">
        <v>350</v>
      </c>
      <c r="B351" s="1" t="s">
        <v>33</v>
      </c>
      <c r="C351" s="2">
        <v>2022</v>
      </c>
      <c r="D351" s="1" t="s">
        <v>43</v>
      </c>
      <c r="E351" s="2">
        <v>175.3</v>
      </c>
      <c r="G351"/>
    </row>
    <row r="352" spans="1:7" ht="26.5" thickBot="1" x14ac:dyDescent="0.4">
      <c r="A352">
        <v>351</v>
      </c>
      <c r="B352" s="1" t="s">
        <v>34</v>
      </c>
      <c r="C352" s="2">
        <v>2022</v>
      </c>
      <c r="D352" s="1" t="s">
        <v>43</v>
      </c>
      <c r="E352" s="2">
        <v>176.7</v>
      </c>
      <c r="G352" s="20">
        <f>(E352-E316)/E316*100</f>
        <v>6.7673716012084526</v>
      </c>
    </row>
    <row r="353" spans="1:7" ht="26.5" hidden="1" thickBot="1" x14ac:dyDescent="0.4">
      <c r="A353">
        <v>352</v>
      </c>
      <c r="B353" s="1" t="s">
        <v>30</v>
      </c>
      <c r="C353" s="2">
        <v>2022</v>
      </c>
      <c r="D353" s="1" t="s">
        <v>44</v>
      </c>
      <c r="E353" s="2">
        <v>177.8</v>
      </c>
      <c r="G353"/>
    </row>
    <row r="354" spans="1:7" ht="26.5" hidden="1" thickBot="1" x14ac:dyDescent="0.4">
      <c r="A354">
        <v>353</v>
      </c>
      <c r="B354" s="1" t="s">
        <v>33</v>
      </c>
      <c r="C354" s="2">
        <v>2022</v>
      </c>
      <c r="D354" s="1" t="s">
        <v>44</v>
      </c>
      <c r="E354" s="2">
        <v>174.1</v>
      </c>
      <c r="G354"/>
    </row>
    <row r="355" spans="1:7" ht="26.5" thickBot="1" x14ac:dyDescent="0.4">
      <c r="A355">
        <v>354</v>
      </c>
      <c r="B355" s="1" t="s">
        <v>34</v>
      </c>
      <c r="C355" s="2">
        <v>2022</v>
      </c>
      <c r="D355" s="1" t="s">
        <v>44</v>
      </c>
      <c r="E355" s="2">
        <v>176.5</v>
      </c>
      <c r="G355" s="20">
        <f>(E355-E319)/E319*100</f>
        <v>5.8788242351529769</v>
      </c>
    </row>
    <row r="356" spans="1:7" ht="26.5" hidden="1" thickBot="1" x14ac:dyDescent="0.4">
      <c r="A356">
        <v>355</v>
      </c>
      <c r="B356" s="1" t="s">
        <v>30</v>
      </c>
      <c r="C356" s="2">
        <v>2022</v>
      </c>
      <c r="D356" s="1" t="s">
        <v>45</v>
      </c>
      <c r="E356" s="2">
        <v>177.1</v>
      </c>
      <c r="G356"/>
    </row>
    <row r="357" spans="1:7" ht="26.5" hidden="1" thickBot="1" x14ac:dyDescent="0.4">
      <c r="A357">
        <v>356</v>
      </c>
      <c r="B357" s="1" t="s">
        <v>33</v>
      </c>
      <c r="C357" s="2">
        <v>2022</v>
      </c>
      <c r="D357" s="1" t="s">
        <v>45</v>
      </c>
      <c r="E357" s="2">
        <v>174.1</v>
      </c>
      <c r="G357"/>
    </row>
    <row r="358" spans="1:7" ht="26.5" thickBot="1" x14ac:dyDescent="0.4">
      <c r="A358">
        <v>357</v>
      </c>
      <c r="B358" s="1" t="s">
        <v>34</v>
      </c>
      <c r="C358" s="2">
        <v>2022</v>
      </c>
      <c r="D358" s="1" t="s">
        <v>45</v>
      </c>
      <c r="E358" s="2">
        <v>175.7</v>
      </c>
      <c r="G358" s="20">
        <f>(E358-E322)/E322*100</f>
        <v>5.7160048134777384</v>
      </c>
    </row>
    <row r="359" spans="1:7" ht="15" hidden="1" thickBot="1" x14ac:dyDescent="0.4">
      <c r="A359">
        <v>358</v>
      </c>
      <c r="B359" s="1" t="s">
        <v>30</v>
      </c>
      <c r="C359" s="2">
        <v>2023</v>
      </c>
      <c r="D359" s="1" t="s">
        <v>31</v>
      </c>
      <c r="E359" s="2">
        <v>177.8</v>
      </c>
      <c r="G359"/>
    </row>
    <row r="360" spans="1:7" ht="15" hidden="1" thickBot="1" x14ac:dyDescent="0.4">
      <c r="A360">
        <v>359</v>
      </c>
      <c r="B360" s="1" t="s">
        <v>33</v>
      </c>
      <c r="C360" s="2">
        <v>2023</v>
      </c>
      <c r="D360" s="1" t="s">
        <v>31</v>
      </c>
      <c r="E360" s="2">
        <v>174.9</v>
      </c>
      <c r="G360"/>
    </row>
    <row r="361" spans="1:7" ht="26.5" thickBot="1" x14ac:dyDescent="0.4">
      <c r="A361">
        <v>360</v>
      </c>
      <c r="B361" s="1" t="s">
        <v>34</v>
      </c>
      <c r="C361" s="2">
        <v>2023</v>
      </c>
      <c r="D361" s="1" t="s">
        <v>31</v>
      </c>
      <c r="E361" s="2">
        <v>176.5</v>
      </c>
      <c r="G361" s="20">
        <f>(E361-E325)/E325*100</f>
        <v>6.5178032589016377</v>
      </c>
    </row>
    <row r="362" spans="1:7" ht="15" hidden="1" thickBot="1" x14ac:dyDescent="0.4">
      <c r="A362">
        <v>361</v>
      </c>
      <c r="B362" s="1" t="s">
        <v>30</v>
      </c>
      <c r="C362" s="2">
        <v>2023</v>
      </c>
      <c r="D362" s="1" t="s">
        <v>35</v>
      </c>
      <c r="E362" s="2">
        <v>178</v>
      </c>
      <c r="G362"/>
    </row>
    <row r="363" spans="1:7" ht="15" hidden="1" thickBot="1" x14ac:dyDescent="0.4">
      <c r="A363">
        <v>362</v>
      </c>
      <c r="B363" s="1" t="s">
        <v>33</v>
      </c>
      <c r="C363" s="2">
        <v>2023</v>
      </c>
      <c r="D363" s="1" t="s">
        <v>35</v>
      </c>
      <c r="E363" s="2">
        <v>176.3</v>
      </c>
      <c r="G363"/>
    </row>
    <row r="364" spans="1:7" ht="26.5" thickBot="1" x14ac:dyDescent="0.4">
      <c r="A364">
        <v>363</v>
      </c>
      <c r="B364" s="1" t="s">
        <v>34</v>
      </c>
      <c r="C364" s="2">
        <v>2023</v>
      </c>
      <c r="D364" s="1" t="s">
        <v>35</v>
      </c>
      <c r="E364" s="2">
        <v>177.2</v>
      </c>
      <c r="G364" s="20">
        <f>(E364-E328)/E328*100</f>
        <v>6.6827212522576733</v>
      </c>
    </row>
    <row r="365" spans="1:7" ht="15" hidden="1" thickBot="1" x14ac:dyDescent="0.4">
      <c r="A365">
        <v>364</v>
      </c>
      <c r="B365" s="1" t="s">
        <v>30</v>
      </c>
      <c r="C365" s="2">
        <v>2023</v>
      </c>
      <c r="D365" s="1" t="s">
        <v>36</v>
      </c>
      <c r="E365" s="2">
        <v>178</v>
      </c>
      <c r="G365"/>
    </row>
    <row r="366" spans="1:7" ht="15" hidden="1" thickBot="1" x14ac:dyDescent="0.4">
      <c r="A366">
        <v>365</v>
      </c>
      <c r="B366" s="1" t="s">
        <v>33</v>
      </c>
      <c r="C366" s="2">
        <v>2023</v>
      </c>
      <c r="D366" s="1" t="s">
        <v>36</v>
      </c>
      <c r="E366" s="2">
        <v>176.3</v>
      </c>
      <c r="G366"/>
    </row>
    <row r="367" spans="1:7" ht="26.5" thickBot="1" x14ac:dyDescent="0.4">
      <c r="A367">
        <v>366</v>
      </c>
      <c r="B367" s="1" t="s">
        <v>34</v>
      </c>
      <c r="C367" s="2">
        <v>2023</v>
      </c>
      <c r="D367" s="1" t="s">
        <v>36</v>
      </c>
      <c r="E367" s="2">
        <v>177.2</v>
      </c>
      <c r="G367" s="20">
        <f>(E367-E331)/E331*100</f>
        <v>5.6648777579010146</v>
      </c>
    </row>
    <row r="368" spans="1:7" ht="15" hidden="1" thickBot="1" x14ac:dyDescent="0.4">
      <c r="A368">
        <v>367</v>
      </c>
      <c r="B368" s="1" t="s">
        <v>30</v>
      </c>
      <c r="C368" s="2">
        <v>2023</v>
      </c>
      <c r="D368" s="1" t="s">
        <v>37</v>
      </c>
      <c r="E368" s="2">
        <v>178.8</v>
      </c>
      <c r="G368"/>
    </row>
    <row r="369" spans="1:7" ht="15" hidden="1" thickBot="1" x14ac:dyDescent="0.4">
      <c r="A369">
        <v>368</v>
      </c>
      <c r="B369" s="1" t="s">
        <v>33</v>
      </c>
      <c r="C369" s="2">
        <v>2023</v>
      </c>
      <c r="D369" s="1" t="s">
        <v>37</v>
      </c>
      <c r="E369" s="2">
        <v>177.4</v>
      </c>
      <c r="G369"/>
    </row>
    <row r="370" spans="1:7" ht="26.5" thickBot="1" x14ac:dyDescent="0.4">
      <c r="A370">
        <v>369</v>
      </c>
      <c r="B370" s="1" t="s">
        <v>34</v>
      </c>
      <c r="C370" s="2">
        <v>2023</v>
      </c>
      <c r="D370" s="1" t="s">
        <v>37</v>
      </c>
      <c r="E370" s="2">
        <v>178.1</v>
      </c>
      <c r="G370" s="20">
        <f>(E370-E334)/E334*100</f>
        <v>4.7031158142269254</v>
      </c>
    </row>
    <row r="371" spans="1:7" ht="15" hidden="1" thickBot="1" x14ac:dyDescent="0.4">
      <c r="A371">
        <v>370</v>
      </c>
      <c r="B371" s="1" t="s">
        <v>30</v>
      </c>
      <c r="C371" s="2">
        <v>2023</v>
      </c>
      <c r="D371" s="1" t="s">
        <v>38</v>
      </c>
      <c r="E371" s="2">
        <v>179.8</v>
      </c>
      <c r="G371"/>
    </row>
    <row r="372" spans="1:7" ht="15" hidden="1" thickBot="1" x14ac:dyDescent="0.4">
      <c r="A372">
        <v>371</v>
      </c>
      <c r="B372" s="1" t="s">
        <v>33</v>
      </c>
      <c r="C372" s="2">
        <v>2023</v>
      </c>
      <c r="D372" s="1" t="s">
        <v>38</v>
      </c>
      <c r="E372" s="2">
        <v>178.2</v>
      </c>
      <c r="G372"/>
    </row>
    <row r="373" spans="1:7" ht="26.5" thickBot="1" x14ac:dyDescent="0.4">
      <c r="A373">
        <v>372</v>
      </c>
      <c r="B373" s="1" t="s">
        <v>34</v>
      </c>
      <c r="C373" s="2">
        <v>2023</v>
      </c>
      <c r="D373" s="1" t="s">
        <v>38</v>
      </c>
      <c r="E373" s="2">
        <v>179.1</v>
      </c>
      <c r="G373" s="20">
        <f>(E373-E337)/E337*100</f>
        <v>4.3098427489807838</v>
      </c>
    </row>
  </sheetData>
  <autoFilter ref="A1:E373" xr:uid="{C5CA1517-397E-4A79-84C3-F8984F24DEEE}">
    <filterColumn colId="1">
      <filters>
        <filter val="Rural+Urban"/>
      </filters>
    </filterColumn>
    <filterColumn colId="2">
      <customFilters>
        <customFilter operator="greaterThanOrEqual" val="2017"/>
      </customFilters>
    </filterColumn>
  </autoFilter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DC26C-C046-4B04-B5CB-A2BF0F8E2FA9}">
  <sheetPr filterMode="1"/>
  <dimension ref="A1:I343"/>
  <sheetViews>
    <sheetView topLeftCell="A31" workbookViewId="0">
      <selection activeCell="F7" sqref="F7"/>
    </sheetView>
  </sheetViews>
  <sheetFormatPr defaultRowHeight="14.5" x14ac:dyDescent="0.35"/>
  <cols>
    <col min="8" max="8" width="7" customWidth="1"/>
  </cols>
  <sheetData>
    <row r="1" spans="1:9" ht="15" thickBot="1" x14ac:dyDescent="0.4">
      <c r="A1" s="14" t="s">
        <v>0</v>
      </c>
      <c r="B1" s="14" t="s">
        <v>1</v>
      </c>
      <c r="C1" s="14" t="s">
        <v>2</v>
      </c>
      <c r="D1" s="21" t="s">
        <v>52</v>
      </c>
      <c r="F1" s="37" t="s">
        <v>63</v>
      </c>
    </row>
    <row r="2" spans="1:9" ht="15" hidden="1" thickBot="1" x14ac:dyDescent="0.4">
      <c r="A2" s="1" t="s">
        <v>30</v>
      </c>
      <c r="B2" s="2">
        <v>2022</v>
      </c>
      <c r="C2" s="1" t="s">
        <v>38</v>
      </c>
      <c r="D2" s="20">
        <v>171.2923076923077</v>
      </c>
      <c r="F2" s="23"/>
      <c r="H2" s="38" t="s">
        <v>61</v>
      </c>
      <c r="I2" s="39" t="s">
        <v>64</v>
      </c>
    </row>
    <row r="3" spans="1:9" ht="15" hidden="1" thickBot="1" x14ac:dyDescent="0.4">
      <c r="A3" s="1" t="s">
        <v>33</v>
      </c>
      <c r="B3" s="2">
        <v>2022</v>
      </c>
      <c r="C3" s="1" t="s">
        <v>38</v>
      </c>
      <c r="D3" s="20">
        <v>174.01538461538465</v>
      </c>
      <c r="F3" s="23"/>
    </row>
    <row r="4" spans="1:9" ht="26.5" thickBot="1" x14ac:dyDescent="0.4">
      <c r="A4" s="1" t="s">
        <v>34</v>
      </c>
      <c r="B4" s="2">
        <v>2022</v>
      </c>
      <c r="C4" s="1" t="s">
        <v>38</v>
      </c>
      <c r="D4" s="20">
        <v>172.22307692307697</v>
      </c>
      <c r="F4" s="23"/>
    </row>
    <row r="5" spans="1:9" ht="15" hidden="1" thickBot="1" x14ac:dyDescent="0.4">
      <c r="A5" s="40" t="s">
        <v>30</v>
      </c>
      <c r="B5" s="41">
        <v>2022</v>
      </c>
      <c r="C5" s="40" t="s">
        <v>39</v>
      </c>
      <c r="D5" s="42">
        <v>172.94615384615386</v>
      </c>
      <c r="E5" s="43"/>
      <c r="F5" s="44">
        <f t="shared" ref="F5:F40" si="0">(D5-D2)/D2*100</f>
        <v>0.96551104724268388</v>
      </c>
    </row>
    <row r="6" spans="1:9" ht="15" hidden="1" thickBot="1" x14ac:dyDescent="0.4">
      <c r="A6" s="40" t="s">
        <v>33</v>
      </c>
      <c r="B6" s="41">
        <v>2022</v>
      </c>
      <c r="C6" s="40" t="s">
        <v>39</v>
      </c>
      <c r="D6" s="42">
        <v>175.96153846153845</v>
      </c>
      <c r="E6" s="43"/>
      <c r="F6" s="44">
        <f t="shared" si="0"/>
        <v>1.1183803377243156</v>
      </c>
    </row>
    <row r="7" spans="1:9" ht="26.5" thickBot="1" x14ac:dyDescent="0.4">
      <c r="A7" s="40" t="s">
        <v>34</v>
      </c>
      <c r="B7" s="41">
        <v>2022</v>
      </c>
      <c r="C7" s="40" t="s">
        <v>39</v>
      </c>
      <c r="D7" s="42">
        <v>173.99230769230769</v>
      </c>
      <c r="E7" s="43"/>
      <c r="F7" s="44">
        <f>(D7-D4)/D4</f>
        <v>1.0272901871454425E-2</v>
      </c>
    </row>
    <row r="8" spans="1:9" ht="15" hidden="1" thickBot="1" x14ac:dyDescent="0.4">
      <c r="A8" s="1" t="s">
        <v>30</v>
      </c>
      <c r="B8" s="2">
        <v>2022</v>
      </c>
      <c r="C8" s="1" t="s">
        <v>40</v>
      </c>
      <c r="D8" s="20">
        <v>173.26923076923077</v>
      </c>
      <c r="F8" s="23">
        <f t="shared" si="0"/>
        <v>0.1868078103455876</v>
      </c>
    </row>
    <row r="9" spans="1:9" ht="15" hidden="1" thickBot="1" x14ac:dyDescent="0.4">
      <c r="A9" s="1" t="s">
        <v>33</v>
      </c>
      <c r="B9" s="2">
        <v>2022</v>
      </c>
      <c r="C9" s="1" t="s">
        <v>40</v>
      </c>
      <c r="D9" s="20">
        <v>176.27692307692308</v>
      </c>
      <c r="F9" s="23">
        <f t="shared" si="0"/>
        <v>0.17923497267760408</v>
      </c>
    </row>
    <row r="10" spans="1:9" ht="26.5" thickBot="1" x14ac:dyDescent="0.4">
      <c r="A10" s="1" t="s">
        <v>34</v>
      </c>
      <c r="B10" s="2">
        <v>2022</v>
      </c>
      <c r="C10" s="1" t="s">
        <v>40</v>
      </c>
      <c r="D10" s="20">
        <v>174.33076923076925</v>
      </c>
      <c r="F10" s="23">
        <f t="shared" si="0"/>
        <v>0.19452672531943327</v>
      </c>
    </row>
    <row r="11" spans="1:9" ht="15" hidden="1" thickBot="1" x14ac:dyDescent="0.4">
      <c r="A11" s="1" t="s">
        <v>30</v>
      </c>
      <c r="B11" s="2">
        <v>2022</v>
      </c>
      <c r="C11" s="1" t="s">
        <v>41</v>
      </c>
      <c r="D11" s="20">
        <v>173.5230769230769</v>
      </c>
      <c r="F11" s="23">
        <f t="shared" si="0"/>
        <v>0.1465038845726811</v>
      </c>
    </row>
    <row r="12" spans="1:9" ht="15" hidden="1" thickBot="1" x14ac:dyDescent="0.4">
      <c r="A12" s="1" t="s">
        <v>33</v>
      </c>
      <c r="B12" s="2">
        <v>2022</v>
      </c>
      <c r="C12" s="1" t="s">
        <v>41</v>
      </c>
      <c r="D12" s="20">
        <v>176.43846153846152</v>
      </c>
      <c r="F12" s="23">
        <f t="shared" si="0"/>
        <v>9.1639029499028551E-2</v>
      </c>
    </row>
    <row r="13" spans="1:9" ht="26.5" thickBot="1" x14ac:dyDescent="0.4">
      <c r="A13" s="1" t="s">
        <v>34</v>
      </c>
      <c r="B13" s="2">
        <v>2022</v>
      </c>
      <c r="C13" s="1" t="s">
        <v>41</v>
      </c>
      <c r="D13" s="20">
        <v>174.55384615384617</v>
      </c>
      <c r="F13" s="23">
        <f t="shared" si="0"/>
        <v>0.12796187618585006</v>
      </c>
    </row>
    <row r="14" spans="1:9" ht="26.5" hidden="1" thickBot="1" x14ac:dyDescent="0.4">
      <c r="A14" s="1" t="s">
        <v>30</v>
      </c>
      <c r="B14" s="2">
        <v>2022</v>
      </c>
      <c r="C14" s="1" t="s">
        <v>42</v>
      </c>
      <c r="D14" s="20">
        <v>174.44615384615386</v>
      </c>
      <c r="F14" s="23">
        <f t="shared" si="0"/>
        <v>0.53196205337354874</v>
      </c>
    </row>
    <row r="15" spans="1:9" ht="26.5" hidden="1" thickBot="1" x14ac:dyDescent="0.4">
      <c r="A15" s="1" t="s">
        <v>33</v>
      </c>
      <c r="B15" s="2">
        <v>2022</v>
      </c>
      <c r="C15" s="1" t="s">
        <v>42</v>
      </c>
      <c r="D15" s="20">
        <v>177.41538461538462</v>
      </c>
      <c r="F15" s="23">
        <f t="shared" si="0"/>
        <v>0.55369054366309034</v>
      </c>
    </row>
    <row r="16" spans="1:9" ht="26.5" thickBot="1" x14ac:dyDescent="0.4">
      <c r="A16" s="1" t="s">
        <v>34</v>
      </c>
      <c r="B16" s="2">
        <v>2022</v>
      </c>
      <c r="C16" s="1" t="s">
        <v>42</v>
      </c>
      <c r="D16" s="20">
        <v>175.45384615384617</v>
      </c>
      <c r="F16" s="23">
        <f t="shared" si="0"/>
        <v>0.51560021152829516</v>
      </c>
    </row>
    <row r="17" spans="1:6" ht="15" hidden="1" thickBot="1" x14ac:dyDescent="0.4">
      <c r="A17" s="1" t="s">
        <v>30</v>
      </c>
      <c r="B17" s="2">
        <v>2022</v>
      </c>
      <c r="C17" s="1" t="s">
        <v>43</v>
      </c>
      <c r="D17" s="20">
        <v>175.73076923076923</v>
      </c>
      <c r="F17" s="23">
        <f t="shared" si="0"/>
        <v>0.73639650762852682</v>
      </c>
    </row>
    <row r="18" spans="1:6" ht="15" hidden="1" thickBot="1" x14ac:dyDescent="0.4">
      <c r="A18" s="1" t="s">
        <v>33</v>
      </c>
      <c r="B18" s="2">
        <v>2022</v>
      </c>
      <c r="C18" s="1" t="s">
        <v>43</v>
      </c>
      <c r="D18" s="20">
        <v>178.63846153846154</v>
      </c>
      <c r="F18" s="23">
        <f t="shared" si="0"/>
        <v>0.68938605619146376</v>
      </c>
    </row>
    <row r="19" spans="1:6" ht="26.5" thickBot="1" x14ac:dyDescent="0.4">
      <c r="A19" s="1" t="s">
        <v>34</v>
      </c>
      <c r="B19" s="2">
        <v>2022</v>
      </c>
      <c r="C19" s="1" t="s">
        <v>43</v>
      </c>
      <c r="D19" s="20">
        <v>176.71538461538464</v>
      </c>
      <c r="F19" s="23">
        <f t="shared" si="0"/>
        <v>0.71901442413082706</v>
      </c>
    </row>
    <row r="20" spans="1:6" ht="26.5" hidden="1" thickBot="1" x14ac:dyDescent="0.4">
      <c r="A20" s="1" t="s">
        <v>30</v>
      </c>
      <c r="B20" s="2">
        <v>2022</v>
      </c>
      <c r="C20" s="1" t="s">
        <v>44</v>
      </c>
      <c r="D20" s="20">
        <v>175.97692307692307</v>
      </c>
      <c r="F20" s="23">
        <f t="shared" si="0"/>
        <v>0.14007441453272002</v>
      </c>
    </row>
    <row r="21" spans="1:6" ht="26.5" hidden="1" thickBot="1" x14ac:dyDescent="0.4">
      <c r="A21" s="1" t="s">
        <v>33</v>
      </c>
      <c r="B21" s="2">
        <v>2022</v>
      </c>
      <c r="C21" s="1" t="s">
        <v>44</v>
      </c>
      <c r="D21" s="20">
        <v>178.03076923076924</v>
      </c>
      <c r="F21" s="23">
        <f t="shared" si="0"/>
        <v>-0.34017999397149157</v>
      </c>
    </row>
    <row r="22" spans="1:6" ht="26.5" thickBot="1" x14ac:dyDescent="0.4">
      <c r="A22" s="1" t="s">
        <v>34</v>
      </c>
      <c r="B22" s="2">
        <v>2022</v>
      </c>
      <c r="C22" s="1" t="s">
        <v>44</v>
      </c>
      <c r="D22" s="20">
        <v>176.67692307692309</v>
      </c>
      <c r="F22" s="23">
        <f t="shared" si="0"/>
        <v>-2.1764680276851682E-2</v>
      </c>
    </row>
    <row r="23" spans="1:6" ht="26.5" hidden="1" thickBot="1" x14ac:dyDescent="0.4">
      <c r="A23" s="1" t="s">
        <v>30</v>
      </c>
      <c r="B23" s="2">
        <v>2022</v>
      </c>
      <c r="C23" s="1" t="s">
        <v>45</v>
      </c>
      <c r="D23" s="20">
        <v>175.16153846153844</v>
      </c>
      <c r="F23" s="23">
        <f t="shared" si="0"/>
        <v>-0.46334746688814937</v>
      </c>
    </row>
    <row r="24" spans="1:6" ht="26.5" hidden="1" thickBot="1" x14ac:dyDescent="0.4">
      <c r="A24" s="1" t="s">
        <v>33</v>
      </c>
      <c r="B24" s="2">
        <v>2022</v>
      </c>
      <c r="C24" s="1" t="s">
        <v>45</v>
      </c>
      <c r="D24" s="20">
        <v>176.59999999999997</v>
      </c>
      <c r="F24" s="23">
        <f t="shared" si="0"/>
        <v>-0.80366401659179632</v>
      </c>
    </row>
    <row r="25" spans="1:6" ht="26.5" thickBot="1" x14ac:dyDescent="0.4">
      <c r="A25" s="1" t="s">
        <v>34</v>
      </c>
      <c r="B25" s="2">
        <v>2022</v>
      </c>
      <c r="C25" s="1" t="s">
        <v>45</v>
      </c>
      <c r="D25" s="20">
        <v>175.64615384615385</v>
      </c>
      <c r="F25" s="23">
        <f t="shared" si="0"/>
        <v>-0.58342041100662179</v>
      </c>
    </row>
    <row r="26" spans="1:6" ht="15" hidden="1" thickBot="1" x14ac:dyDescent="0.4">
      <c r="A26" s="1" t="s">
        <v>30</v>
      </c>
      <c r="B26" s="2">
        <v>2023</v>
      </c>
      <c r="C26" s="1" t="s">
        <v>31</v>
      </c>
      <c r="D26" s="20">
        <v>175.63076923076926</v>
      </c>
      <c r="F26" s="23">
        <f t="shared" si="0"/>
        <v>0.26788459004877468</v>
      </c>
    </row>
    <row r="27" spans="1:6" ht="15" hidden="1" thickBot="1" x14ac:dyDescent="0.4">
      <c r="A27" s="1" t="s">
        <v>33</v>
      </c>
      <c r="B27" s="2">
        <v>2023</v>
      </c>
      <c r="C27" s="1" t="s">
        <v>31</v>
      </c>
      <c r="D27" s="20">
        <v>177.70769230769233</v>
      </c>
      <c r="F27" s="23">
        <f t="shared" si="0"/>
        <v>0.62723233731164252</v>
      </c>
    </row>
    <row r="28" spans="1:6" ht="26.5" thickBot="1" x14ac:dyDescent="0.4">
      <c r="A28" s="1" t="s">
        <v>34</v>
      </c>
      <c r="B28" s="2">
        <v>2023</v>
      </c>
      <c r="C28" s="1" t="s">
        <v>31</v>
      </c>
      <c r="D28" s="20">
        <v>176.36153846153846</v>
      </c>
      <c r="F28" s="23">
        <f t="shared" si="0"/>
        <v>0.40728737847069707</v>
      </c>
    </row>
    <row r="29" spans="1:6" ht="15" hidden="1" thickBot="1" x14ac:dyDescent="0.4">
      <c r="A29" s="45" t="s">
        <v>30</v>
      </c>
      <c r="B29" s="46">
        <v>2023</v>
      </c>
      <c r="C29" s="45" t="s">
        <v>35</v>
      </c>
      <c r="D29" s="47">
        <v>174.28461538461536</v>
      </c>
      <c r="E29" s="48"/>
      <c r="F29" s="49">
        <f t="shared" si="0"/>
        <v>-0.76646811492644751</v>
      </c>
    </row>
    <row r="30" spans="1:6" ht="15" hidden="1" thickBot="1" x14ac:dyDescent="0.4">
      <c r="A30" s="45" t="s">
        <v>33</v>
      </c>
      <c r="B30" s="46">
        <v>2023</v>
      </c>
      <c r="C30" s="45" t="s">
        <v>35</v>
      </c>
      <c r="D30" s="47">
        <v>177.16923076923075</v>
      </c>
      <c r="E30" s="48"/>
      <c r="F30" s="49">
        <f t="shared" si="0"/>
        <v>-0.30300406891180343</v>
      </c>
    </row>
    <row r="31" spans="1:6" ht="26.5" thickBot="1" x14ac:dyDescent="0.4">
      <c r="A31" s="45" t="s">
        <v>34</v>
      </c>
      <c r="B31" s="46">
        <v>2023</v>
      </c>
      <c r="C31" s="45" t="s">
        <v>35</v>
      </c>
      <c r="D31" s="47">
        <v>175.3153846153846</v>
      </c>
      <c r="E31" s="48"/>
      <c r="F31" s="49">
        <f t="shared" si="0"/>
        <v>-0.59318707201117182</v>
      </c>
    </row>
    <row r="32" spans="1:6" ht="15" hidden="1" thickBot="1" x14ac:dyDescent="0.4">
      <c r="A32" s="1" t="s">
        <v>30</v>
      </c>
      <c r="B32" s="2">
        <v>2023</v>
      </c>
      <c r="C32" s="1" t="s">
        <v>36</v>
      </c>
      <c r="D32" s="20">
        <v>174.2923076923077</v>
      </c>
      <c r="F32" s="23">
        <f t="shared" si="0"/>
        <v>4.4136469965305302E-3</v>
      </c>
    </row>
    <row r="33" spans="1:6" ht="15" hidden="1" thickBot="1" x14ac:dyDescent="0.4">
      <c r="A33" s="1" t="s">
        <v>33</v>
      </c>
      <c r="B33" s="2">
        <v>2023</v>
      </c>
      <c r="C33" s="1" t="s">
        <v>36</v>
      </c>
      <c r="D33" s="20">
        <v>177.1846153846154</v>
      </c>
      <c r="F33" s="23">
        <f t="shared" si="0"/>
        <v>8.6835706842833867E-3</v>
      </c>
    </row>
    <row r="34" spans="1:6" ht="26.5" thickBot="1" x14ac:dyDescent="0.4">
      <c r="A34" s="1" t="s">
        <v>34</v>
      </c>
      <c r="B34" s="2">
        <v>2023</v>
      </c>
      <c r="C34" s="1" t="s">
        <v>36</v>
      </c>
      <c r="D34" s="20">
        <v>175.32307692307691</v>
      </c>
      <c r="F34" s="23">
        <f t="shared" si="0"/>
        <v>4.3876968978992913E-3</v>
      </c>
    </row>
    <row r="35" spans="1:6" ht="15" hidden="1" thickBot="1" x14ac:dyDescent="0.4">
      <c r="A35" s="1" t="s">
        <v>30</v>
      </c>
      <c r="B35" s="2">
        <v>2023</v>
      </c>
      <c r="C35" s="1" t="s">
        <v>37</v>
      </c>
      <c r="D35" s="20">
        <v>174.93846153846152</v>
      </c>
      <c r="F35" s="23">
        <f t="shared" si="0"/>
        <v>0.37072998499424897</v>
      </c>
    </row>
    <row r="36" spans="1:6" ht="15" hidden="1" thickBot="1" x14ac:dyDescent="0.4">
      <c r="A36" s="1" t="s">
        <v>33</v>
      </c>
      <c r="B36" s="2">
        <v>2023</v>
      </c>
      <c r="C36" s="1" t="s">
        <v>37</v>
      </c>
      <c r="D36" s="20">
        <v>178.28461538461539</v>
      </c>
      <c r="F36" s="23">
        <f t="shared" si="0"/>
        <v>0.62082139446035967</v>
      </c>
    </row>
    <row r="37" spans="1:6" ht="26.5" thickBot="1" x14ac:dyDescent="0.4">
      <c r="A37" s="1" t="s">
        <v>34</v>
      </c>
      <c r="B37" s="2">
        <v>2023</v>
      </c>
      <c r="C37" s="1" t="s">
        <v>37</v>
      </c>
      <c r="D37" s="20">
        <v>176.12307692307695</v>
      </c>
      <c r="F37" s="23">
        <f t="shared" si="0"/>
        <v>0.456300456300479</v>
      </c>
    </row>
    <row r="38" spans="1:6" ht="15" hidden="1" thickBot="1" x14ac:dyDescent="0.4">
      <c r="A38" s="1" t="s">
        <v>30</v>
      </c>
      <c r="B38" s="2">
        <v>2023</v>
      </c>
      <c r="C38" s="1" t="s">
        <v>38</v>
      </c>
      <c r="D38" s="20">
        <v>176.20769230769235</v>
      </c>
      <c r="F38" s="23">
        <f t="shared" si="0"/>
        <v>0.72552985665292391</v>
      </c>
    </row>
    <row r="39" spans="1:6" ht="15" hidden="1" thickBot="1" x14ac:dyDescent="0.4">
      <c r="A39" s="1" t="s">
        <v>33</v>
      </c>
      <c r="B39" s="2">
        <v>2023</v>
      </c>
      <c r="C39" s="1" t="s">
        <v>38</v>
      </c>
      <c r="D39" s="20">
        <v>179.62307692307692</v>
      </c>
      <c r="F39" s="23">
        <f t="shared" si="0"/>
        <v>0.75074427233895202</v>
      </c>
    </row>
    <row r="40" spans="1:6" ht="26.5" thickBot="1" x14ac:dyDescent="0.4">
      <c r="A40" s="1" t="s">
        <v>34</v>
      </c>
      <c r="B40" s="2">
        <v>2023</v>
      </c>
      <c r="C40" s="1" t="s">
        <v>38</v>
      </c>
      <c r="D40" s="20">
        <v>177.45384615384617</v>
      </c>
      <c r="F40" s="23">
        <f t="shared" si="0"/>
        <v>0.75559049615652807</v>
      </c>
    </row>
    <row r="41" spans="1:6" x14ac:dyDescent="0.35">
      <c r="D41" s="20"/>
    </row>
    <row r="42" spans="1:6" x14ac:dyDescent="0.35">
      <c r="D42" s="20"/>
    </row>
    <row r="338" spans="8:9" x14ac:dyDescent="0.35">
      <c r="H338" s="23"/>
    </row>
    <row r="339" spans="8:9" x14ac:dyDescent="0.35">
      <c r="I339" s="20"/>
    </row>
    <row r="342" spans="8:9" x14ac:dyDescent="0.35">
      <c r="H342" s="23"/>
    </row>
    <row r="343" spans="8:9" x14ac:dyDescent="0.35">
      <c r="H343" s="23"/>
    </row>
  </sheetData>
  <autoFilter ref="A1:D40" xr:uid="{AEADC26C-C046-4B04-B5CB-A2BF0F8E2FA9}">
    <filterColumn colId="0">
      <filters>
        <filter val="Rural+Urban"/>
      </filters>
    </filterColumn>
  </autoFilter>
  <pageMargins left="0.7" right="0.7" top="0.75" bottom="0.75" header="0.3" footer="0.3"/>
  <ignoredErrors>
    <ignoredError sqref="F7" formula="1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8A484-73C3-418B-A91C-079755A13CE1}">
  <dimension ref="A1:P20"/>
  <sheetViews>
    <sheetView tabSelected="1" topLeftCell="A22" workbookViewId="0">
      <selection activeCell="L15" sqref="L15:L17"/>
    </sheetView>
  </sheetViews>
  <sheetFormatPr defaultRowHeight="14.5" x14ac:dyDescent="0.35"/>
  <cols>
    <col min="1" max="1" width="10.6328125" customWidth="1"/>
    <col min="15" max="15" width="12.90625" customWidth="1"/>
    <col min="16" max="16" width="12" customWidth="1"/>
  </cols>
  <sheetData>
    <row r="1" spans="1:16" ht="15" thickBot="1" x14ac:dyDescent="0.4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14" t="s">
        <v>7</v>
      </c>
      <c r="I1" s="14" t="s">
        <v>8</v>
      </c>
      <c r="J1" s="14" t="s">
        <v>9</v>
      </c>
      <c r="K1" s="14" t="s">
        <v>10</v>
      </c>
      <c r="L1" s="14" t="s">
        <v>11</v>
      </c>
      <c r="M1" s="14" t="s">
        <v>12</v>
      </c>
      <c r="N1" s="14" t="s">
        <v>13</v>
      </c>
      <c r="O1" s="14" t="s">
        <v>14</v>
      </c>
      <c r="P1" s="14" t="s">
        <v>15</v>
      </c>
    </row>
    <row r="2" spans="1:16" ht="15" thickBot="1" x14ac:dyDescent="0.4">
      <c r="A2" s="1" t="s">
        <v>30</v>
      </c>
      <c r="B2" s="2">
        <v>2022</v>
      </c>
      <c r="C2" s="1" t="s">
        <v>39</v>
      </c>
      <c r="D2" s="2">
        <v>153.80000000000001</v>
      </c>
      <c r="E2" s="2">
        <v>217.2</v>
      </c>
      <c r="F2" s="2">
        <v>169.6</v>
      </c>
      <c r="G2" s="2">
        <v>165.4</v>
      </c>
      <c r="H2" s="2">
        <v>208.1</v>
      </c>
      <c r="I2" s="2">
        <v>165.8</v>
      </c>
      <c r="J2" s="2">
        <v>167.3</v>
      </c>
      <c r="K2" s="2">
        <v>164.6</v>
      </c>
      <c r="L2" s="2">
        <v>119.1</v>
      </c>
      <c r="M2" s="2">
        <v>188.9</v>
      </c>
      <c r="N2" s="2">
        <v>174.2</v>
      </c>
      <c r="O2" s="2">
        <v>181.9</v>
      </c>
      <c r="P2" s="2">
        <v>172.4</v>
      </c>
    </row>
    <row r="3" spans="1:16" ht="15" thickBot="1" x14ac:dyDescent="0.4">
      <c r="A3" s="1" t="s">
        <v>33</v>
      </c>
      <c r="B3" s="2">
        <v>2022</v>
      </c>
      <c r="C3" s="1" t="s">
        <v>39</v>
      </c>
      <c r="D3" s="2">
        <v>157.5</v>
      </c>
      <c r="E3" s="2">
        <v>223.4</v>
      </c>
      <c r="F3" s="2">
        <v>172.8</v>
      </c>
      <c r="G3" s="2">
        <v>166.4</v>
      </c>
      <c r="H3" s="2">
        <v>188.6</v>
      </c>
      <c r="I3" s="2">
        <v>174.1</v>
      </c>
      <c r="J3" s="2">
        <v>211.5</v>
      </c>
      <c r="K3" s="2">
        <v>163.6</v>
      </c>
      <c r="L3" s="2">
        <v>121.4</v>
      </c>
      <c r="M3" s="2">
        <v>183.5</v>
      </c>
      <c r="N3" s="2">
        <v>159.1</v>
      </c>
      <c r="O3" s="2">
        <v>186.3</v>
      </c>
      <c r="P3" s="2">
        <v>179.3</v>
      </c>
    </row>
    <row r="4" spans="1:16" ht="26.5" thickBot="1" x14ac:dyDescent="0.4">
      <c r="A4" s="1" t="s">
        <v>34</v>
      </c>
      <c r="B4" s="2">
        <v>2022</v>
      </c>
      <c r="C4" s="1" t="s">
        <v>39</v>
      </c>
      <c r="D4" s="2">
        <v>155</v>
      </c>
      <c r="E4" s="2">
        <v>219.4</v>
      </c>
      <c r="F4" s="2">
        <v>170.8</v>
      </c>
      <c r="G4" s="2">
        <v>165.8</v>
      </c>
      <c r="H4" s="2">
        <v>200.9</v>
      </c>
      <c r="I4" s="2">
        <v>169.7</v>
      </c>
      <c r="J4" s="2">
        <v>182.3</v>
      </c>
      <c r="K4" s="2">
        <v>164.3</v>
      </c>
      <c r="L4" s="2">
        <v>119.9</v>
      </c>
      <c r="M4" s="2">
        <v>187.1</v>
      </c>
      <c r="N4" s="2">
        <v>167.9</v>
      </c>
      <c r="O4" s="2">
        <v>183.9</v>
      </c>
      <c r="P4" s="2">
        <v>174.9</v>
      </c>
    </row>
    <row r="5" spans="1:16" ht="15" thickBot="1" x14ac:dyDescent="0.4">
      <c r="A5" s="1" t="s">
        <v>30</v>
      </c>
      <c r="B5" s="2">
        <v>2023</v>
      </c>
      <c r="C5" s="1" t="s">
        <v>38</v>
      </c>
      <c r="D5" s="2">
        <v>173.2</v>
      </c>
      <c r="E5" s="2">
        <v>211.5</v>
      </c>
      <c r="F5" s="2">
        <v>171</v>
      </c>
      <c r="G5" s="2">
        <v>179.6</v>
      </c>
      <c r="H5" s="2">
        <v>173.3</v>
      </c>
      <c r="I5" s="2">
        <v>169</v>
      </c>
      <c r="J5" s="2">
        <v>148.69999999999999</v>
      </c>
      <c r="K5" s="2">
        <v>174.9</v>
      </c>
      <c r="L5" s="2">
        <v>121.9</v>
      </c>
      <c r="M5" s="2">
        <v>221</v>
      </c>
      <c r="N5" s="2">
        <v>178.7</v>
      </c>
      <c r="O5" s="2">
        <v>191.1</v>
      </c>
      <c r="P5" s="2">
        <v>176.8</v>
      </c>
    </row>
    <row r="6" spans="1:16" ht="15" thickBot="1" x14ac:dyDescent="0.4">
      <c r="A6" s="1" t="s">
        <v>33</v>
      </c>
      <c r="B6" s="2">
        <v>2023</v>
      </c>
      <c r="C6" s="1" t="s">
        <v>38</v>
      </c>
      <c r="D6" s="2">
        <v>174.7</v>
      </c>
      <c r="E6" s="2">
        <v>219.4</v>
      </c>
      <c r="F6" s="2">
        <v>176.7</v>
      </c>
      <c r="G6" s="2">
        <v>179.4</v>
      </c>
      <c r="H6" s="2">
        <v>164.4</v>
      </c>
      <c r="I6" s="2">
        <v>175.8</v>
      </c>
      <c r="J6" s="2">
        <v>185</v>
      </c>
      <c r="K6" s="2">
        <v>176.9</v>
      </c>
      <c r="L6" s="2">
        <v>124.2</v>
      </c>
      <c r="M6" s="2">
        <v>211.9</v>
      </c>
      <c r="N6" s="2">
        <v>165.9</v>
      </c>
      <c r="O6" s="2">
        <v>197.7</v>
      </c>
      <c r="P6" s="2">
        <v>183.1</v>
      </c>
    </row>
    <row r="7" spans="1:16" ht="26.5" thickBot="1" x14ac:dyDescent="0.4">
      <c r="A7" s="1" t="s">
        <v>34</v>
      </c>
      <c r="B7" s="2">
        <v>2023</v>
      </c>
      <c r="C7" s="1" t="s">
        <v>38</v>
      </c>
      <c r="D7" s="2">
        <v>173.7</v>
      </c>
      <c r="E7" s="2">
        <v>214.3</v>
      </c>
      <c r="F7" s="2">
        <v>173.2</v>
      </c>
      <c r="G7" s="2">
        <v>179.5</v>
      </c>
      <c r="H7" s="2">
        <v>170</v>
      </c>
      <c r="I7" s="2">
        <v>172.2</v>
      </c>
      <c r="J7" s="2">
        <v>161</v>
      </c>
      <c r="K7" s="2">
        <v>175.6</v>
      </c>
      <c r="L7" s="2">
        <v>122.7</v>
      </c>
      <c r="M7" s="2">
        <v>218</v>
      </c>
      <c r="N7" s="2">
        <v>173.4</v>
      </c>
      <c r="O7" s="2">
        <v>194.2</v>
      </c>
      <c r="P7" s="2">
        <v>179.1</v>
      </c>
    </row>
    <row r="9" spans="1:16" ht="6.5" customHeight="1" x14ac:dyDescent="0.35"/>
    <row r="11" spans="1:16" ht="23.5" x14ac:dyDescent="0.55000000000000004">
      <c r="C11" s="4"/>
      <c r="D11" s="4"/>
      <c r="E11" s="4"/>
      <c r="F11" s="50" t="s">
        <v>65</v>
      </c>
      <c r="G11" s="4"/>
      <c r="H11" s="4"/>
      <c r="I11" s="4"/>
    </row>
    <row r="13" spans="1:16" ht="15" thickBot="1" x14ac:dyDescent="0.4"/>
    <row r="14" spans="1:16" ht="15" thickBot="1" x14ac:dyDescent="0.4">
      <c r="C14" s="51" t="s">
        <v>3</v>
      </c>
      <c r="D14" s="51" t="s">
        <v>4</v>
      </c>
      <c r="E14" s="51" t="s">
        <v>5</v>
      </c>
      <c r="F14" s="51" t="s">
        <v>6</v>
      </c>
      <c r="G14" s="51" t="s">
        <v>7</v>
      </c>
      <c r="H14" s="51" t="s">
        <v>8</v>
      </c>
      <c r="I14" s="51" t="s">
        <v>9</v>
      </c>
      <c r="J14" s="51" t="s">
        <v>10</v>
      </c>
      <c r="K14" s="51" t="s">
        <v>11</v>
      </c>
      <c r="L14" s="51" t="s">
        <v>12</v>
      </c>
      <c r="M14" s="51" t="s">
        <v>13</v>
      </c>
      <c r="N14" s="51" t="s">
        <v>14</v>
      </c>
      <c r="O14" s="51" t="s">
        <v>15</v>
      </c>
      <c r="P14" s="52"/>
    </row>
    <row r="15" spans="1:16" ht="15" thickBot="1" x14ac:dyDescent="0.4">
      <c r="A15" s="53" t="s">
        <v>30</v>
      </c>
      <c r="C15">
        <f t="shared" ref="C15:O15" si="0">D5-D2</f>
        <v>19.399999999999977</v>
      </c>
      <c r="D15">
        <f t="shared" si="0"/>
        <v>-5.6999999999999886</v>
      </c>
      <c r="E15">
        <f t="shared" si="0"/>
        <v>1.4000000000000057</v>
      </c>
      <c r="F15">
        <f t="shared" si="0"/>
        <v>14.199999999999989</v>
      </c>
      <c r="G15">
        <f t="shared" si="0"/>
        <v>-34.799999999999983</v>
      </c>
      <c r="H15">
        <f t="shared" si="0"/>
        <v>3.1999999999999886</v>
      </c>
      <c r="I15">
        <f t="shared" si="0"/>
        <v>-18.600000000000023</v>
      </c>
      <c r="J15">
        <f t="shared" si="0"/>
        <v>10.300000000000011</v>
      </c>
      <c r="K15">
        <f t="shared" si="0"/>
        <v>2.8000000000000114</v>
      </c>
      <c r="L15" s="4">
        <f t="shared" si="0"/>
        <v>32.099999999999994</v>
      </c>
      <c r="M15">
        <f t="shared" si="0"/>
        <v>4.5</v>
      </c>
      <c r="N15">
        <f t="shared" si="0"/>
        <v>9.1999999999999886</v>
      </c>
      <c r="O15">
        <f t="shared" si="0"/>
        <v>4.4000000000000057</v>
      </c>
    </row>
    <row r="16" spans="1:16" ht="15" thickBot="1" x14ac:dyDescent="0.4">
      <c r="A16" s="54" t="s">
        <v>33</v>
      </c>
      <c r="C16">
        <f t="shared" ref="C16:O16" si="1">D6-D3</f>
        <v>17.199999999999989</v>
      </c>
      <c r="D16">
        <f t="shared" si="1"/>
        <v>-4</v>
      </c>
      <c r="E16">
        <f t="shared" si="1"/>
        <v>3.8999999999999773</v>
      </c>
      <c r="F16">
        <f t="shared" si="1"/>
        <v>13</v>
      </c>
      <c r="G16">
        <f t="shared" si="1"/>
        <v>-24.199999999999989</v>
      </c>
      <c r="H16">
        <f t="shared" si="1"/>
        <v>1.7000000000000171</v>
      </c>
      <c r="I16">
        <f t="shared" si="1"/>
        <v>-26.5</v>
      </c>
      <c r="J16">
        <f t="shared" si="1"/>
        <v>13.300000000000011</v>
      </c>
      <c r="K16">
        <f t="shared" si="1"/>
        <v>2.7999999999999972</v>
      </c>
      <c r="L16" s="4">
        <f t="shared" si="1"/>
        <v>28.400000000000006</v>
      </c>
      <c r="M16">
        <f t="shared" si="1"/>
        <v>6.8000000000000114</v>
      </c>
      <c r="N16">
        <f t="shared" si="1"/>
        <v>11.399999999999977</v>
      </c>
      <c r="O16">
        <f t="shared" si="1"/>
        <v>3.7999999999999829</v>
      </c>
    </row>
    <row r="17" spans="1:15" ht="15" thickBot="1" x14ac:dyDescent="0.4">
      <c r="A17" s="55" t="s">
        <v>34</v>
      </c>
      <c r="C17">
        <f t="shared" ref="C17:O17" si="2">D7-D4</f>
        <v>18.699999999999989</v>
      </c>
      <c r="D17">
        <f t="shared" si="2"/>
        <v>-5.0999999999999943</v>
      </c>
      <c r="E17">
        <f t="shared" si="2"/>
        <v>2.3999999999999773</v>
      </c>
      <c r="F17">
        <f t="shared" si="2"/>
        <v>13.699999999999989</v>
      </c>
      <c r="G17">
        <f t="shared" si="2"/>
        <v>-30.900000000000006</v>
      </c>
      <c r="H17">
        <f t="shared" si="2"/>
        <v>2.5</v>
      </c>
      <c r="I17">
        <f t="shared" si="2"/>
        <v>-21.300000000000011</v>
      </c>
      <c r="J17">
        <f t="shared" si="2"/>
        <v>11.299999999999983</v>
      </c>
      <c r="K17">
        <f t="shared" si="2"/>
        <v>2.7999999999999972</v>
      </c>
      <c r="L17" s="4">
        <f t="shared" si="2"/>
        <v>30.900000000000006</v>
      </c>
      <c r="M17">
        <f t="shared" si="2"/>
        <v>5.5</v>
      </c>
      <c r="N17">
        <f t="shared" si="2"/>
        <v>10.299999999999983</v>
      </c>
      <c r="O17">
        <f t="shared" si="2"/>
        <v>4.1999999999999886</v>
      </c>
    </row>
    <row r="19" spans="1:15" ht="15" thickBot="1" x14ac:dyDescent="0.4"/>
    <row r="20" spans="1:15" ht="15" thickBot="1" x14ac:dyDescent="0.4">
      <c r="A20" s="32" t="s">
        <v>58</v>
      </c>
      <c r="B20" s="12" t="s">
        <v>66</v>
      </c>
      <c r="C20" s="34"/>
      <c r="D20" s="34"/>
      <c r="E20" s="34"/>
      <c r="F20" s="34"/>
      <c r="G20" s="34"/>
      <c r="H20" s="34"/>
      <c r="I20" s="35"/>
    </row>
  </sheetData>
  <autoFilter ref="A1:P7" xr:uid="{B248A484-73C3-418B-A91C-079755A13CE1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3F665D-1465-431F-8743-E58BE0E6390D}">
  <dimension ref="A1:P96"/>
  <sheetViews>
    <sheetView topLeftCell="A82" workbookViewId="0">
      <selection activeCell="J99" sqref="J99"/>
    </sheetView>
  </sheetViews>
  <sheetFormatPr defaultRowHeight="14.5" x14ac:dyDescent="0.35"/>
  <cols>
    <col min="1" max="1" width="18.453125" customWidth="1"/>
    <col min="3" max="3" width="10" customWidth="1"/>
    <col min="5" max="5" width="12" bestFit="1" customWidth="1"/>
    <col min="7" max="7" width="7.26953125" customWidth="1"/>
    <col min="8" max="8" width="11.36328125" bestFit="1" customWidth="1"/>
    <col min="11" max="11" width="11.36328125" bestFit="1" customWidth="1"/>
    <col min="13" max="13" width="10.90625" customWidth="1"/>
    <col min="14" max="14" width="8.7265625" customWidth="1"/>
  </cols>
  <sheetData>
    <row r="1" spans="1:16" ht="15" thickBot="1" x14ac:dyDescent="0.4">
      <c r="A1" s="14" t="s">
        <v>0</v>
      </c>
      <c r="B1" s="14" t="s">
        <v>1</v>
      </c>
      <c r="C1" s="14" t="s">
        <v>2</v>
      </c>
      <c r="D1" s="14" t="s">
        <v>21</v>
      </c>
      <c r="E1" s="14" t="s">
        <v>67</v>
      </c>
      <c r="F1" s="14"/>
      <c r="G1" s="14" t="s">
        <v>22</v>
      </c>
      <c r="H1" s="14" t="s">
        <v>67</v>
      </c>
      <c r="I1" s="14"/>
      <c r="J1" s="14" t="s">
        <v>23</v>
      </c>
      <c r="K1" s="14" t="s">
        <v>67</v>
      </c>
      <c r="L1" s="56"/>
      <c r="M1" s="21" t="s">
        <v>52</v>
      </c>
      <c r="N1" s="14" t="s">
        <v>67</v>
      </c>
      <c r="O1" s="56"/>
      <c r="P1" s="14" t="s">
        <v>29</v>
      </c>
    </row>
    <row r="2" spans="1:16" ht="15" thickBot="1" x14ac:dyDescent="0.4">
      <c r="A2" s="1" t="s">
        <v>30</v>
      </c>
      <c r="B2" s="2">
        <v>2019</v>
      </c>
      <c r="C2" s="1" t="s">
        <v>31</v>
      </c>
      <c r="D2" s="2">
        <v>146.19999999999999</v>
      </c>
      <c r="E2" s="2"/>
      <c r="F2" s="2"/>
      <c r="G2" s="2">
        <v>150.1</v>
      </c>
      <c r="H2" s="2"/>
      <c r="I2" s="2"/>
      <c r="J2" s="2">
        <v>149.6</v>
      </c>
      <c r="K2" s="57"/>
      <c r="L2" s="57"/>
      <c r="M2" s="20">
        <v>135.35384615384618</v>
      </c>
      <c r="N2" s="20"/>
      <c r="O2" s="20"/>
      <c r="P2" s="2">
        <v>141</v>
      </c>
    </row>
    <row r="3" spans="1:16" ht="15" thickBot="1" x14ac:dyDescent="0.4">
      <c r="A3" s="1" t="s">
        <v>33</v>
      </c>
      <c r="B3" s="2">
        <v>2019</v>
      </c>
      <c r="C3" s="1" t="s">
        <v>31</v>
      </c>
      <c r="D3" s="2">
        <v>128.6</v>
      </c>
      <c r="E3" s="2"/>
      <c r="F3" s="2"/>
      <c r="G3" s="2">
        <v>136.30000000000001</v>
      </c>
      <c r="H3" s="2"/>
      <c r="I3" s="2"/>
      <c r="J3" s="2">
        <v>137.80000000000001</v>
      </c>
      <c r="K3" s="57"/>
      <c r="L3" s="57"/>
      <c r="M3" s="20">
        <v>134.17692307692309</v>
      </c>
      <c r="N3" s="20"/>
      <c r="O3" s="20"/>
      <c r="P3" s="2">
        <v>138</v>
      </c>
    </row>
    <row r="4" spans="1:16" ht="15" thickBot="1" x14ac:dyDescent="0.4">
      <c r="A4" s="1" t="s">
        <v>34</v>
      </c>
      <c r="B4" s="2">
        <v>2019</v>
      </c>
      <c r="C4" s="1" t="s">
        <v>31</v>
      </c>
      <c r="D4" s="2">
        <v>139.5</v>
      </c>
      <c r="E4" s="2"/>
      <c r="F4" s="2"/>
      <c r="G4" s="2">
        <v>143.6</v>
      </c>
      <c r="H4" s="2"/>
      <c r="I4" s="2"/>
      <c r="J4" s="2">
        <v>145.1</v>
      </c>
      <c r="K4" s="57"/>
      <c r="L4" s="57"/>
      <c r="M4" s="20">
        <v>134.87692307692308</v>
      </c>
      <c r="N4" s="20"/>
      <c r="O4" s="20"/>
      <c r="P4" s="2">
        <v>139.6</v>
      </c>
    </row>
    <row r="5" spans="1:16" ht="15" thickBot="1" x14ac:dyDescent="0.4">
      <c r="A5" s="1" t="s">
        <v>30</v>
      </c>
      <c r="B5" s="2">
        <v>2019</v>
      </c>
      <c r="C5" s="1" t="s">
        <v>35</v>
      </c>
      <c r="D5" s="2">
        <v>145.30000000000001</v>
      </c>
      <c r="E5" s="61">
        <f t="shared" ref="E5:E40" si="0">(D5-D2)/D2*100</f>
        <v>-0.61559507523938251</v>
      </c>
      <c r="F5" s="2"/>
      <c r="G5" s="2">
        <v>150.1</v>
      </c>
      <c r="H5" s="18">
        <f t="shared" ref="H5:H40" si="1">(G5-G2)/G2*100</f>
        <v>0</v>
      </c>
      <c r="I5" s="2"/>
      <c r="J5" s="2">
        <v>149.9</v>
      </c>
      <c r="K5" s="62">
        <f t="shared" ref="K5:K40" si="2">(J5-J2)/J2*100</f>
        <v>0.20053475935829637</v>
      </c>
      <c r="L5" s="57"/>
      <c r="M5" s="20">
        <v>135.3692307692308</v>
      </c>
      <c r="N5" s="20">
        <f t="shared" ref="N5:N40" si="3">(M5-M2)/M2*100</f>
        <v>1.1366219595365164E-2</v>
      </c>
      <c r="O5" s="20"/>
      <c r="P5" s="2">
        <v>141</v>
      </c>
    </row>
    <row r="6" spans="1:16" ht="15" thickBot="1" x14ac:dyDescent="0.4">
      <c r="A6" s="1" t="s">
        <v>33</v>
      </c>
      <c r="B6" s="2">
        <v>2019</v>
      </c>
      <c r="C6" s="1" t="s">
        <v>35</v>
      </c>
      <c r="D6" s="2">
        <v>127.1</v>
      </c>
      <c r="E6" s="61">
        <f t="shared" si="0"/>
        <v>-1.166407465007776</v>
      </c>
      <c r="F6" s="2"/>
      <c r="G6" s="2">
        <v>136.6</v>
      </c>
      <c r="H6" s="61">
        <f t="shared" si="1"/>
        <v>0.2201027146001342</v>
      </c>
      <c r="I6" s="2"/>
      <c r="J6" s="2">
        <v>138.5</v>
      </c>
      <c r="K6" s="62">
        <f t="shared" si="2"/>
        <v>0.50798258345427327</v>
      </c>
      <c r="L6" s="57"/>
      <c r="M6" s="20">
        <v>134.95384615384617</v>
      </c>
      <c r="N6" s="20">
        <f t="shared" si="3"/>
        <v>0.57902883678266803</v>
      </c>
      <c r="O6" s="20"/>
      <c r="P6" s="2">
        <v>138.6</v>
      </c>
    </row>
    <row r="7" spans="1:16" ht="15" thickBot="1" x14ac:dyDescent="0.4">
      <c r="A7" s="1" t="s">
        <v>34</v>
      </c>
      <c r="B7" s="2">
        <v>2019</v>
      </c>
      <c r="C7" s="1" t="s">
        <v>35</v>
      </c>
      <c r="D7" s="2">
        <v>138.4</v>
      </c>
      <c r="E7" s="61">
        <f t="shared" si="0"/>
        <v>-0.78853046594981668</v>
      </c>
      <c r="F7" s="2"/>
      <c r="G7" s="2">
        <v>143.69999999999999</v>
      </c>
      <c r="H7" s="61">
        <f t="shared" si="1"/>
        <v>6.9637883008352594E-2</v>
      </c>
      <c r="I7" s="2"/>
      <c r="J7" s="2">
        <v>145.6</v>
      </c>
      <c r="K7" s="62">
        <f t="shared" si="2"/>
        <v>0.34458993797381116</v>
      </c>
      <c r="L7" s="57"/>
      <c r="M7" s="20">
        <v>135.16153846153844</v>
      </c>
      <c r="N7" s="20">
        <f t="shared" si="3"/>
        <v>0.21101859244894108</v>
      </c>
      <c r="O7" s="20"/>
      <c r="P7" s="2">
        <v>139.9</v>
      </c>
    </row>
    <row r="8" spans="1:16" ht="15" thickBot="1" x14ac:dyDescent="0.4">
      <c r="A8" s="1" t="s">
        <v>30</v>
      </c>
      <c r="B8" s="2">
        <v>2019</v>
      </c>
      <c r="C8" s="1" t="s">
        <v>36</v>
      </c>
      <c r="D8" s="2">
        <v>146.4</v>
      </c>
      <c r="E8" s="61">
        <f t="shared" si="0"/>
        <v>0.75705437026840616</v>
      </c>
      <c r="F8" s="2"/>
      <c r="G8" s="2">
        <v>150</v>
      </c>
      <c r="H8" s="18">
        <f t="shared" si="1"/>
        <v>-6.662225183210814E-2</v>
      </c>
      <c r="I8" s="2"/>
      <c r="J8" s="2">
        <v>150.4</v>
      </c>
      <c r="K8" s="62">
        <f t="shared" si="2"/>
        <v>0.33355570380253502</v>
      </c>
      <c r="L8" s="57"/>
      <c r="M8" s="20">
        <v>135.4769230769231</v>
      </c>
      <c r="N8" s="20">
        <f t="shared" si="3"/>
        <v>7.9554494828954908E-2</v>
      </c>
      <c r="O8" s="20"/>
      <c r="P8" s="2">
        <v>141.19999999999999</v>
      </c>
    </row>
    <row r="9" spans="1:16" ht="15" thickBot="1" x14ac:dyDescent="0.4">
      <c r="A9" s="1" t="s">
        <v>33</v>
      </c>
      <c r="B9" s="2">
        <v>2019</v>
      </c>
      <c r="C9" s="1" t="s">
        <v>36</v>
      </c>
      <c r="D9" s="2">
        <v>128.80000000000001</v>
      </c>
      <c r="E9" s="61">
        <f t="shared" si="0"/>
        <v>1.3375295043273148</v>
      </c>
      <c r="F9" s="2"/>
      <c r="G9" s="2">
        <v>136.80000000000001</v>
      </c>
      <c r="H9" s="61">
        <f t="shared" si="1"/>
        <v>0.14641288433383387</v>
      </c>
      <c r="I9" s="2"/>
      <c r="J9" s="2">
        <v>139.19999999999999</v>
      </c>
      <c r="K9" s="62">
        <f t="shared" si="2"/>
        <v>0.50541516245486551</v>
      </c>
      <c r="L9" s="57"/>
      <c r="M9" s="20">
        <v>136.03076923076924</v>
      </c>
      <c r="N9" s="20">
        <f t="shared" si="3"/>
        <v>0.79799361605106345</v>
      </c>
      <c r="O9" s="20"/>
      <c r="P9" s="2">
        <v>139.5</v>
      </c>
    </row>
    <row r="10" spans="1:16" ht="15" thickBot="1" x14ac:dyDescent="0.4">
      <c r="A10" s="1" t="s">
        <v>34</v>
      </c>
      <c r="B10" s="2">
        <v>2019</v>
      </c>
      <c r="C10" s="1" t="s">
        <v>36</v>
      </c>
      <c r="D10" s="2">
        <v>139.69999999999999</v>
      </c>
      <c r="E10" s="61">
        <f t="shared" si="0"/>
        <v>0.93930635838149046</v>
      </c>
      <c r="F10" s="2"/>
      <c r="G10" s="2">
        <v>143.80000000000001</v>
      </c>
      <c r="H10" s="61">
        <f t="shared" si="1"/>
        <v>6.9589422407809853E-2</v>
      </c>
      <c r="I10" s="2"/>
      <c r="J10" s="2">
        <v>146.19999999999999</v>
      </c>
      <c r="K10" s="62">
        <f t="shared" si="2"/>
        <v>0.41208791208790818</v>
      </c>
      <c r="L10" s="57"/>
      <c r="M10" s="20">
        <v>135.6076923076923</v>
      </c>
      <c r="N10" s="20">
        <f t="shared" si="3"/>
        <v>0.33008935177281951</v>
      </c>
      <c r="O10" s="20"/>
      <c r="P10" s="2">
        <v>140.4</v>
      </c>
    </row>
    <row r="11" spans="1:16" ht="15" thickBot="1" x14ac:dyDescent="0.4">
      <c r="A11" s="1" t="s">
        <v>30</v>
      </c>
      <c r="B11" s="2">
        <v>2019</v>
      </c>
      <c r="C11" s="1" t="s">
        <v>38</v>
      </c>
      <c r="D11" s="2">
        <v>146.9</v>
      </c>
      <c r="E11" s="61">
        <f t="shared" si="0"/>
        <v>0.34153005464480873</v>
      </c>
      <c r="F11" s="2"/>
      <c r="G11" s="2">
        <v>149.5</v>
      </c>
      <c r="H11" s="18">
        <f t="shared" si="1"/>
        <v>-0.33333333333333337</v>
      </c>
      <c r="I11" s="2"/>
      <c r="J11" s="2">
        <v>151.30000000000001</v>
      </c>
      <c r="K11" s="62">
        <f t="shared" si="2"/>
        <v>0.59840425531915264</v>
      </c>
      <c r="L11" s="57"/>
      <c r="M11" s="20">
        <v>137.0846153846154</v>
      </c>
      <c r="N11" s="20">
        <f t="shared" si="3"/>
        <v>1.1866908925732425</v>
      </c>
      <c r="O11" s="20"/>
      <c r="P11" s="2">
        <v>142.4</v>
      </c>
    </row>
    <row r="12" spans="1:16" ht="15" thickBot="1" x14ac:dyDescent="0.4">
      <c r="A12" s="1" t="s">
        <v>33</v>
      </c>
      <c r="B12" s="2">
        <v>2019</v>
      </c>
      <c r="C12" s="1" t="s">
        <v>38</v>
      </c>
      <c r="D12" s="2">
        <v>129.4</v>
      </c>
      <c r="E12" s="61">
        <f t="shared" si="0"/>
        <v>0.46583850931676579</v>
      </c>
      <c r="F12" s="2"/>
      <c r="G12" s="2">
        <v>137.19999999999999</v>
      </c>
      <c r="H12" s="61">
        <f t="shared" si="1"/>
        <v>0.29239766081869684</v>
      </c>
      <c r="I12" s="2"/>
      <c r="J12" s="2">
        <v>139.80000000000001</v>
      </c>
      <c r="K12" s="62">
        <f t="shared" si="2"/>
        <v>0.43103448275863709</v>
      </c>
      <c r="L12" s="57"/>
      <c r="M12" s="20">
        <v>139.34615384615387</v>
      </c>
      <c r="N12" s="20">
        <f t="shared" si="3"/>
        <v>2.437231395611863</v>
      </c>
      <c r="O12" s="20"/>
      <c r="P12" s="2">
        <v>141.5</v>
      </c>
    </row>
    <row r="13" spans="1:16" ht="15" thickBot="1" x14ac:dyDescent="0.4">
      <c r="A13" s="1" t="s">
        <v>34</v>
      </c>
      <c r="B13" s="2">
        <v>2019</v>
      </c>
      <c r="C13" s="1" t="s">
        <v>38</v>
      </c>
      <c r="D13" s="2">
        <v>140.30000000000001</v>
      </c>
      <c r="E13" s="61">
        <f t="shared" si="0"/>
        <v>0.42949176807446154</v>
      </c>
      <c r="F13" s="2"/>
      <c r="G13" s="2">
        <v>143.69999999999999</v>
      </c>
      <c r="H13" s="61">
        <f t="shared" si="1"/>
        <v>-6.954102920724807E-2</v>
      </c>
      <c r="I13" s="2"/>
      <c r="J13" s="2">
        <v>146.9</v>
      </c>
      <c r="K13" s="62">
        <f t="shared" si="2"/>
        <v>0.47879616963065463</v>
      </c>
      <c r="L13" s="57"/>
      <c r="M13" s="20">
        <v>137.83846153846156</v>
      </c>
      <c r="N13" s="20">
        <f t="shared" si="3"/>
        <v>1.6450167337909307</v>
      </c>
      <c r="O13" s="20"/>
      <c r="P13" s="2">
        <v>142</v>
      </c>
    </row>
    <row r="14" spans="1:16" ht="15" thickBot="1" x14ac:dyDescent="0.4">
      <c r="A14" s="1" t="s">
        <v>30</v>
      </c>
      <c r="B14" s="2">
        <v>2019</v>
      </c>
      <c r="C14" s="1" t="s">
        <v>39</v>
      </c>
      <c r="D14" s="2">
        <v>147.80000000000001</v>
      </c>
      <c r="E14" s="61">
        <f t="shared" si="0"/>
        <v>0.61266167460858112</v>
      </c>
      <c r="F14" s="2"/>
      <c r="G14" s="2">
        <v>149.6</v>
      </c>
      <c r="H14" s="18">
        <f t="shared" si="1"/>
        <v>6.688963210701962E-2</v>
      </c>
      <c r="I14" s="2"/>
      <c r="J14" s="2">
        <v>151.69999999999999</v>
      </c>
      <c r="K14" s="62">
        <f t="shared" si="2"/>
        <v>0.26437541308656787</v>
      </c>
      <c r="L14" s="57"/>
      <c r="M14" s="20">
        <v>138.78461538461536</v>
      </c>
      <c r="N14" s="20">
        <f t="shared" si="3"/>
        <v>1.2401099826047628</v>
      </c>
      <c r="O14" s="20"/>
      <c r="P14" s="2">
        <v>143.6</v>
      </c>
    </row>
    <row r="15" spans="1:16" ht="15" thickBot="1" x14ac:dyDescent="0.4">
      <c r="A15" s="1" t="s">
        <v>33</v>
      </c>
      <c r="B15" s="2">
        <v>2019</v>
      </c>
      <c r="C15" s="1" t="s">
        <v>39</v>
      </c>
      <c r="D15" s="2">
        <v>130.5</v>
      </c>
      <c r="E15" s="61">
        <f t="shared" si="0"/>
        <v>0.85007727975270031</v>
      </c>
      <c r="F15" s="2"/>
      <c r="G15" s="2">
        <v>137.4</v>
      </c>
      <c r="H15" s="61">
        <f t="shared" si="1"/>
        <v>0.14577259475219903</v>
      </c>
      <c r="I15" s="2"/>
      <c r="J15" s="2">
        <v>140.30000000000001</v>
      </c>
      <c r="K15" s="62">
        <f t="shared" si="2"/>
        <v>0.35765379113018592</v>
      </c>
      <c r="L15" s="57"/>
      <c r="M15" s="20">
        <v>141.0230769230769</v>
      </c>
      <c r="N15" s="20">
        <f t="shared" si="3"/>
        <v>1.2034225779740222</v>
      </c>
      <c r="O15" s="20"/>
      <c r="P15" s="2">
        <v>142.1</v>
      </c>
    </row>
    <row r="16" spans="1:16" ht="15" thickBot="1" x14ac:dyDescent="0.4">
      <c r="A16" s="1" t="s">
        <v>34</v>
      </c>
      <c r="B16" s="2">
        <v>2019</v>
      </c>
      <c r="C16" s="1" t="s">
        <v>39</v>
      </c>
      <c r="D16" s="2">
        <v>141.19999999999999</v>
      </c>
      <c r="E16" s="61">
        <f t="shared" si="0"/>
        <v>0.64148253741979844</v>
      </c>
      <c r="F16" s="2"/>
      <c r="G16" s="2">
        <v>143.80000000000001</v>
      </c>
      <c r="H16" s="61">
        <f t="shared" si="1"/>
        <v>6.9589422407809853E-2</v>
      </c>
      <c r="I16" s="2"/>
      <c r="J16" s="2">
        <v>147.4</v>
      </c>
      <c r="K16" s="62">
        <f t="shared" si="2"/>
        <v>0.3403675970047651</v>
      </c>
      <c r="L16" s="57"/>
      <c r="M16" s="20">
        <v>139.54615384615386</v>
      </c>
      <c r="N16" s="20">
        <f t="shared" si="3"/>
        <v>1.2389084212288559</v>
      </c>
      <c r="O16" s="20"/>
      <c r="P16" s="2">
        <v>142.9</v>
      </c>
    </row>
    <row r="17" spans="1:16" ht="15" thickBot="1" x14ac:dyDescent="0.4">
      <c r="A17" s="1" t="s">
        <v>30</v>
      </c>
      <c r="B17" s="2">
        <v>2019</v>
      </c>
      <c r="C17" s="1" t="s">
        <v>40</v>
      </c>
      <c r="D17" s="2">
        <v>146.80000000000001</v>
      </c>
      <c r="E17" s="61">
        <f t="shared" si="0"/>
        <v>-0.67658998646820023</v>
      </c>
      <c r="F17" s="2"/>
      <c r="G17" s="2">
        <v>150</v>
      </c>
      <c r="H17" s="18">
        <f t="shared" si="1"/>
        <v>0.26737967914438882</v>
      </c>
      <c r="I17" s="2"/>
      <c r="J17" s="2">
        <v>152.19999999999999</v>
      </c>
      <c r="K17" s="62">
        <f t="shared" si="2"/>
        <v>0.32959789057350036</v>
      </c>
      <c r="L17" s="57"/>
      <c r="M17" s="20">
        <v>140.53076923076921</v>
      </c>
      <c r="N17" s="20">
        <f t="shared" si="3"/>
        <v>1.2581753685844137</v>
      </c>
      <c r="O17" s="20"/>
      <c r="P17" s="2">
        <v>144.9</v>
      </c>
    </row>
    <row r="18" spans="1:16" ht="15" thickBot="1" x14ac:dyDescent="0.4">
      <c r="A18" s="1" t="s">
        <v>33</v>
      </c>
      <c r="B18" s="2">
        <v>2019</v>
      </c>
      <c r="C18" s="1" t="s">
        <v>40</v>
      </c>
      <c r="D18" s="2">
        <v>127</v>
      </c>
      <c r="E18" s="61">
        <f t="shared" si="0"/>
        <v>-2.6819923371647509</v>
      </c>
      <c r="F18" s="2"/>
      <c r="G18" s="2">
        <v>137.69999999999999</v>
      </c>
      <c r="H18" s="61">
        <f t="shared" si="1"/>
        <v>0.21834061135369937</v>
      </c>
      <c r="I18" s="2"/>
      <c r="J18" s="2">
        <v>140.80000000000001</v>
      </c>
      <c r="K18" s="62">
        <f t="shared" si="2"/>
        <v>0.35637918745545255</v>
      </c>
      <c r="L18" s="57"/>
      <c r="M18" s="20">
        <v>142.87692307692308</v>
      </c>
      <c r="N18" s="20">
        <f t="shared" si="3"/>
        <v>1.3145693558064862</v>
      </c>
      <c r="O18" s="20"/>
      <c r="P18" s="2">
        <v>143.30000000000001</v>
      </c>
    </row>
    <row r="19" spans="1:16" ht="15" thickBot="1" x14ac:dyDescent="0.4">
      <c r="A19" s="1" t="s">
        <v>34</v>
      </c>
      <c r="B19" s="2">
        <v>2019</v>
      </c>
      <c r="C19" s="1" t="s">
        <v>40</v>
      </c>
      <c r="D19" s="2">
        <v>139.30000000000001</v>
      </c>
      <c r="E19" s="61">
        <f t="shared" si="0"/>
        <v>-1.3456090651557915</v>
      </c>
      <c r="F19" s="2"/>
      <c r="G19" s="2">
        <v>144.19999999999999</v>
      </c>
      <c r="H19" s="61">
        <f t="shared" si="1"/>
        <v>0.27816411682891323</v>
      </c>
      <c r="I19" s="2"/>
      <c r="J19" s="2">
        <v>147.9</v>
      </c>
      <c r="K19" s="62">
        <f t="shared" si="2"/>
        <v>0.33921302578018991</v>
      </c>
      <c r="L19" s="57"/>
      <c r="M19" s="20">
        <v>141.34615384615384</v>
      </c>
      <c r="N19" s="20">
        <f t="shared" si="3"/>
        <v>1.2898958161071483</v>
      </c>
      <c r="O19" s="20"/>
      <c r="P19" s="2">
        <v>144.19999999999999</v>
      </c>
    </row>
    <row r="20" spans="1:16" ht="15" thickBot="1" x14ac:dyDescent="0.4">
      <c r="A20" s="1" t="s">
        <v>30</v>
      </c>
      <c r="B20" s="2">
        <v>2019</v>
      </c>
      <c r="C20" s="1" t="s">
        <v>41</v>
      </c>
      <c r="D20" s="2">
        <v>146.4</v>
      </c>
      <c r="E20" s="61">
        <f t="shared" si="0"/>
        <v>-0.2724795640327014</v>
      </c>
      <c r="F20" s="2"/>
      <c r="G20" s="2">
        <v>150.19999999999999</v>
      </c>
      <c r="H20" s="18">
        <f t="shared" si="1"/>
        <v>0.13333333333332575</v>
      </c>
      <c r="I20" s="2"/>
      <c r="J20" s="2">
        <v>152.69999999999999</v>
      </c>
      <c r="K20" s="62">
        <f t="shared" si="2"/>
        <v>0.32851511169513803</v>
      </c>
      <c r="L20" s="57"/>
      <c r="M20" s="20">
        <v>141.11538461538464</v>
      </c>
      <c r="N20" s="20">
        <f t="shared" si="3"/>
        <v>0.41600525480325257</v>
      </c>
      <c r="O20" s="20"/>
      <c r="P20" s="2">
        <v>145.69999999999999</v>
      </c>
    </row>
    <row r="21" spans="1:16" ht="15" thickBot="1" x14ac:dyDescent="0.4">
      <c r="A21" s="1" t="s">
        <v>33</v>
      </c>
      <c r="B21" s="2">
        <v>2019</v>
      </c>
      <c r="C21" s="1" t="s">
        <v>41</v>
      </c>
      <c r="D21" s="2">
        <v>125.5</v>
      </c>
      <c r="E21" s="61">
        <f t="shared" si="0"/>
        <v>-1.1811023622047243</v>
      </c>
      <c r="F21" s="2"/>
      <c r="G21" s="2">
        <v>138.1</v>
      </c>
      <c r="H21" s="61">
        <f t="shared" si="1"/>
        <v>0.2904865649963731</v>
      </c>
      <c r="I21" s="2"/>
      <c r="J21" s="2">
        <v>141.5</v>
      </c>
      <c r="K21" s="62">
        <f t="shared" si="2"/>
        <v>0.49715909090908283</v>
      </c>
      <c r="L21" s="57"/>
      <c r="M21" s="20">
        <v>143.77692307692308</v>
      </c>
      <c r="N21" s="20">
        <f t="shared" si="3"/>
        <v>0.62991278130720751</v>
      </c>
      <c r="O21" s="20"/>
      <c r="P21" s="2">
        <v>144.19999999999999</v>
      </c>
    </row>
    <row r="22" spans="1:16" ht="15" thickBot="1" x14ac:dyDescent="0.4">
      <c r="A22" s="1" t="s">
        <v>34</v>
      </c>
      <c r="B22" s="2">
        <v>2019</v>
      </c>
      <c r="C22" s="1" t="s">
        <v>41</v>
      </c>
      <c r="D22" s="2">
        <v>138.5</v>
      </c>
      <c r="E22" s="61">
        <f t="shared" si="0"/>
        <v>-0.57430007178751707</v>
      </c>
      <c r="F22" s="2"/>
      <c r="G22" s="2">
        <v>144.5</v>
      </c>
      <c r="H22" s="61">
        <f t="shared" si="1"/>
        <v>0.20804438280167226</v>
      </c>
      <c r="I22" s="2"/>
      <c r="J22" s="2">
        <v>148.5</v>
      </c>
      <c r="K22" s="62">
        <f t="shared" si="2"/>
        <v>0.40567951318458034</v>
      </c>
      <c r="L22" s="57"/>
      <c r="M22" s="20">
        <v>142.03846153846155</v>
      </c>
      <c r="N22" s="20">
        <f t="shared" si="3"/>
        <v>0.48979591836735775</v>
      </c>
      <c r="O22" s="20"/>
      <c r="P22" s="2">
        <v>145</v>
      </c>
    </row>
    <row r="23" spans="1:16" ht="15" thickBot="1" x14ac:dyDescent="0.4">
      <c r="A23" s="1" t="s">
        <v>30</v>
      </c>
      <c r="B23" s="2">
        <v>2019</v>
      </c>
      <c r="C23" s="1" t="s">
        <v>42</v>
      </c>
      <c r="D23" s="2">
        <v>146.9</v>
      </c>
      <c r="E23" s="61">
        <f t="shared" si="0"/>
        <v>0.34153005464480873</v>
      </c>
      <c r="F23" s="2"/>
      <c r="G23" s="2">
        <v>150.30000000000001</v>
      </c>
      <c r="H23" s="18">
        <f t="shared" si="1"/>
        <v>6.657789613849717E-2</v>
      </c>
      <c r="I23" s="2"/>
      <c r="J23" s="2">
        <v>153.4</v>
      </c>
      <c r="K23" s="62">
        <f t="shared" si="2"/>
        <v>0.45841519318927121</v>
      </c>
      <c r="L23" s="57"/>
      <c r="M23" s="20">
        <v>142.2076923076923</v>
      </c>
      <c r="N23" s="20">
        <f t="shared" si="3"/>
        <v>0.77405287544287438</v>
      </c>
      <c r="O23" s="20"/>
      <c r="P23" s="2">
        <v>146.69999999999999</v>
      </c>
    </row>
    <row r="24" spans="1:16" ht="15" thickBot="1" x14ac:dyDescent="0.4">
      <c r="A24" s="1" t="s">
        <v>33</v>
      </c>
      <c r="B24" s="2">
        <v>2019</v>
      </c>
      <c r="C24" s="1" t="s">
        <v>42</v>
      </c>
      <c r="D24" s="2">
        <v>126.6</v>
      </c>
      <c r="E24" s="61">
        <f t="shared" si="0"/>
        <v>0.87649402390437803</v>
      </c>
      <c r="F24" s="2"/>
      <c r="G24" s="2">
        <v>138.30000000000001</v>
      </c>
      <c r="H24" s="61">
        <f t="shared" si="1"/>
        <v>0.14482259232441497</v>
      </c>
      <c r="I24" s="2"/>
      <c r="J24" s="2">
        <v>141.9</v>
      </c>
      <c r="K24" s="62">
        <f t="shared" si="2"/>
        <v>0.28268551236749517</v>
      </c>
      <c r="L24" s="57"/>
      <c r="M24" s="20">
        <v>144.22307692307692</v>
      </c>
      <c r="N24" s="20">
        <f t="shared" si="3"/>
        <v>0.31030977475789634</v>
      </c>
      <c r="O24" s="20"/>
      <c r="P24" s="2">
        <v>144.69999999999999</v>
      </c>
    </row>
    <row r="25" spans="1:16" ht="15" thickBot="1" x14ac:dyDescent="0.4">
      <c r="A25" s="1" t="s">
        <v>34</v>
      </c>
      <c r="B25" s="2">
        <v>2019</v>
      </c>
      <c r="C25" s="1" t="s">
        <v>42</v>
      </c>
      <c r="D25" s="2">
        <v>139.19999999999999</v>
      </c>
      <c r="E25" s="61">
        <f t="shared" si="0"/>
        <v>0.50541516245486551</v>
      </c>
      <c r="F25" s="2"/>
      <c r="G25" s="2">
        <v>144.6</v>
      </c>
      <c r="H25" s="61">
        <f t="shared" si="1"/>
        <v>6.9204152249131012E-2</v>
      </c>
      <c r="I25" s="2"/>
      <c r="J25" s="2">
        <v>149</v>
      </c>
      <c r="K25" s="62">
        <f t="shared" si="2"/>
        <v>0.33670033670033667</v>
      </c>
      <c r="L25" s="57"/>
      <c r="M25" s="20">
        <v>142.89999999999998</v>
      </c>
      <c r="N25" s="20">
        <f t="shared" si="3"/>
        <v>0.60655293799077126</v>
      </c>
      <c r="O25" s="20"/>
      <c r="P25" s="2">
        <v>145.80000000000001</v>
      </c>
    </row>
    <row r="26" spans="1:16" ht="15" thickBot="1" x14ac:dyDescent="0.4">
      <c r="A26" s="1" t="s">
        <v>30</v>
      </c>
      <c r="B26" s="2">
        <v>2019</v>
      </c>
      <c r="C26" s="1" t="s">
        <v>43</v>
      </c>
      <c r="D26" s="2">
        <v>147.69999999999999</v>
      </c>
      <c r="E26" s="61">
        <f t="shared" si="0"/>
        <v>0.54458815520761261</v>
      </c>
      <c r="F26" s="2"/>
      <c r="G26" s="2">
        <v>150.6</v>
      </c>
      <c r="H26" s="18">
        <f t="shared" si="1"/>
        <v>0.19960079840318223</v>
      </c>
      <c r="I26" s="2"/>
      <c r="J26" s="2">
        <v>153.69999999999999</v>
      </c>
      <c r="K26" s="62">
        <f t="shared" si="2"/>
        <v>0.19556714471967596</v>
      </c>
      <c r="L26" s="57"/>
      <c r="M26" s="20">
        <v>144.37692307692305</v>
      </c>
      <c r="N26" s="20">
        <f t="shared" si="3"/>
        <v>1.5253962243738717</v>
      </c>
      <c r="O26" s="20"/>
      <c r="P26" s="2">
        <v>148.30000000000001</v>
      </c>
    </row>
    <row r="27" spans="1:16" ht="15" thickBot="1" x14ac:dyDescent="0.4">
      <c r="A27" s="1" t="s">
        <v>33</v>
      </c>
      <c r="B27" s="2">
        <v>2019</v>
      </c>
      <c r="C27" s="1" t="s">
        <v>43</v>
      </c>
      <c r="D27" s="2">
        <v>128.9</v>
      </c>
      <c r="E27" s="61">
        <f t="shared" si="0"/>
        <v>1.8167456556082238</v>
      </c>
      <c r="F27" s="2"/>
      <c r="G27" s="2">
        <v>138.69999999999999</v>
      </c>
      <c r="H27" s="61">
        <f t="shared" si="1"/>
        <v>0.28922631959506667</v>
      </c>
      <c r="I27" s="2"/>
      <c r="J27" s="2">
        <v>142.4</v>
      </c>
      <c r="K27" s="62">
        <f t="shared" si="2"/>
        <v>0.35236081747709652</v>
      </c>
      <c r="L27" s="57"/>
      <c r="M27" s="20">
        <v>146.35384615384618</v>
      </c>
      <c r="N27" s="20">
        <f t="shared" si="3"/>
        <v>1.4774121286468818</v>
      </c>
      <c r="O27" s="20"/>
      <c r="P27" s="2">
        <v>146</v>
      </c>
    </row>
    <row r="28" spans="1:16" ht="15" thickBot="1" x14ac:dyDescent="0.4">
      <c r="A28" s="1" t="s">
        <v>34</v>
      </c>
      <c r="B28" s="2">
        <v>2019</v>
      </c>
      <c r="C28" s="1" t="s">
        <v>43</v>
      </c>
      <c r="D28" s="2">
        <v>140.6</v>
      </c>
      <c r="E28" s="61">
        <f t="shared" si="0"/>
        <v>1.0057471264367857</v>
      </c>
      <c r="F28" s="2"/>
      <c r="G28" s="2">
        <v>145</v>
      </c>
      <c r="H28" s="61">
        <f t="shared" si="1"/>
        <v>0.27662517289073701</v>
      </c>
      <c r="I28" s="2"/>
      <c r="J28" s="2">
        <v>149.4</v>
      </c>
      <c r="K28" s="62">
        <f t="shared" si="2"/>
        <v>0.26845637583892995</v>
      </c>
      <c r="L28" s="57"/>
      <c r="M28" s="20">
        <v>145.04615384615383</v>
      </c>
      <c r="N28" s="20">
        <f t="shared" si="3"/>
        <v>1.5018571351671457</v>
      </c>
      <c r="O28" s="20"/>
      <c r="P28" s="2">
        <v>147.19999999999999</v>
      </c>
    </row>
    <row r="29" spans="1:16" ht="15" thickBot="1" x14ac:dyDescent="0.4">
      <c r="A29" s="1" t="s">
        <v>30</v>
      </c>
      <c r="B29" s="2">
        <v>2019</v>
      </c>
      <c r="C29" s="1" t="s">
        <v>44</v>
      </c>
      <c r="D29" s="2">
        <v>148.4</v>
      </c>
      <c r="E29" s="61">
        <f t="shared" si="0"/>
        <v>0.47393364928911108</v>
      </c>
      <c r="F29" s="2"/>
      <c r="G29" s="2">
        <v>150.9</v>
      </c>
      <c r="H29" s="18">
        <f t="shared" si="1"/>
        <v>0.19920318725100356</v>
      </c>
      <c r="I29" s="2"/>
      <c r="J29" s="2">
        <v>154.30000000000001</v>
      </c>
      <c r="K29" s="62">
        <f t="shared" si="2"/>
        <v>0.39037085230970903</v>
      </c>
      <c r="L29" s="57"/>
      <c r="M29" s="20">
        <v>146.50769230769231</v>
      </c>
      <c r="N29" s="20">
        <f t="shared" si="3"/>
        <v>1.4758378176781071</v>
      </c>
      <c r="O29" s="20"/>
      <c r="P29" s="2">
        <v>149.9</v>
      </c>
    </row>
    <row r="30" spans="1:16" ht="15" thickBot="1" x14ac:dyDescent="0.4">
      <c r="A30" s="1" t="s">
        <v>33</v>
      </c>
      <c r="B30" s="2">
        <v>2019</v>
      </c>
      <c r="C30" s="1" t="s">
        <v>44</v>
      </c>
      <c r="D30" s="2">
        <v>132.19999999999999</v>
      </c>
      <c r="E30" s="61">
        <f t="shared" si="0"/>
        <v>2.5601241272303978</v>
      </c>
      <c r="F30" s="2"/>
      <c r="G30" s="2">
        <v>139.1</v>
      </c>
      <c r="H30" s="61">
        <f t="shared" si="1"/>
        <v>0.28839221341024202</v>
      </c>
      <c r="I30" s="2"/>
      <c r="J30" s="2">
        <v>142.80000000000001</v>
      </c>
      <c r="K30" s="62">
        <f t="shared" si="2"/>
        <v>0.28089887640449834</v>
      </c>
      <c r="L30" s="57"/>
      <c r="M30" s="20">
        <v>147.99999999999997</v>
      </c>
      <c r="N30" s="20">
        <f t="shared" si="3"/>
        <v>1.1247766214653276</v>
      </c>
      <c r="O30" s="20"/>
      <c r="P30" s="2">
        <v>147</v>
      </c>
    </row>
    <row r="31" spans="1:16" ht="15" thickBot="1" x14ac:dyDescent="0.4">
      <c r="A31" s="1" t="s">
        <v>34</v>
      </c>
      <c r="B31" s="2">
        <v>2019</v>
      </c>
      <c r="C31" s="1" t="s">
        <v>44</v>
      </c>
      <c r="D31" s="2">
        <v>142.30000000000001</v>
      </c>
      <c r="E31" s="61">
        <f t="shared" si="0"/>
        <v>1.2091038406828003</v>
      </c>
      <c r="F31" s="2"/>
      <c r="G31" s="2">
        <v>145.30000000000001</v>
      </c>
      <c r="H31" s="61">
        <f t="shared" si="1"/>
        <v>0.20689655172414578</v>
      </c>
      <c r="I31" s="2"/>
      <c r="J31" s="2">
        <v>149.9</v>
      </c>
      <c r="K31" s="62">
        <f t="shared" si="2"/>
        <v>0.33467202141900937</v>
      </c>
      <c r="L31" s="57"/>
      <c r="M31" s="20">
        <v>146.99230769230769</v>
      </c>
      <c r="N31" s="20">
        <f t="shared" si="3"/>
        <v>1.3417479847263583</v>
      </c>
      <c r="O31" s="20"/>
      <c r="P31" s="2">
        <v>148.6</v>
      </c>
    </row>
    <row r="32" spans="1:16" ht="15" thickBot="1" x14ac:dyDescent="0.4">
      <c r="A32" s="1" t="s">
        <v>30</v>
      </c>
      <c r="B32" s="2">
        <v>2019</v>
      </c>
      <c r="C32" s="1" t="s">
        <v>45</v>
      </c>
      <c r="D32" s="2">
        <v>149.9</v>
      </c>
      <c r="E32" s="61">
        <f t="shared" si="0"/>
        <v>1.0107816711590296</v>
      </c>
      <c r="F32" s="2"/>
      <c r="G32" s="2">
        <v>151.19999999999999</v>
      </c>
      <c r="H32" s="18">
        <f t="shared" si="1"/>
        <v>0.19880715705764279</v>
      </c>
      <c r="I32" s="2"/>
      <c r="J32" s="2">
        <v>154.80000000000001</v>
      </c>
      <c r="K32" s="62">
        <f t="shared" si="2"/>
        <v>0.32404406999351909</v>
      </c>
      <c r="L32" s="57"/>
      <c r="M32" s="20">
        <v>149.30769230769226</v>
      </c>
      <c r="N32" s="20">
        <f t="shared" si="3"/>
        <v>1.9111624488081176</v>
      </c>
      <c r="O32" s="20"/>
      <c r="P32" s="2">
        <v>152.30000000000001</v>
      </c>
    </row>
    <row r="33" spans="1:16" ht="15" thickBot="1" x14ac:dyDescent="0.4">
      <c r="A33" s="1" t="s">
        <v>33</v>
      </c>
      <c r="B33" s="2">
        <v>2019</v>
      </c>
      <c r="C33" s="1" t="s">
        <v>45</v>
      </c>
      <c r="D33" s="2">
        <v>133.6</v>
      </c>
      <c r="E33" s="61">
        <f t="shared" si="0"/>
        <v>1.0590015128593084</v>
      </c>
      <c r="F33" s="2"/>
      <c r="G33" s="2">
        <v>139.80000000000001</v>
      </c>
      <c r="H33" s="61">
        <f t="shared" si="1"/>
        <v>0.50323508267434724</v>
      </c>
      <c r="I33" s="2"/>
      <c r="J33" s="2">
        <v>143.19999999999999</v>
      </c>
      <c r="K33" s="62">
        <f t="shared" si="2"/>
        <v>0.28011204481791119</v>
      </c>
      <c r="L33" s="57"/>
      <c r="M33" s="20">
        <v>150.51538461538462</v>
      </c>
      <c r="N33" s="20">
        <f t="shared" si="3"/>
        <v>1.6995841995842216</v>
      </c>
      <c r="O33" s="20"/>
      <c r="P33" s="2">
        <v>148.30000000000001</v>
      </c>
    </row>
    <row r="34" spans="1:16" ht="15" thickBot="1" x14ac:dyDescent="0.4">
      <c r="A34" s="1" t="s">
        <v>34</v>
      </c>
      <c r="B34" s="2">
        <v>2019</v>
      </c>
      <c r="C34" s="1" t="s">
        <v>45</v>
      </c>
      <c r="D34" s="2">
        <v>143.69999999999999</v>
      </c>
      <c r="E34" s="61">
        <f t="shared" si="0"/>
        <v>0.98383696416020883</v>
      </c>
      <c r="F34" s="2"/>
      <c r="G34" s="2">
        <v>145.80000000000001</v>
      </c>
      <c r="H34" s="61">
        <f t="shared" si="1"/>
        <v>0.34411562284927733</v>
      </c>
      <c r="I34" s="2"/>
      <c r="J34" s="2">
        <v>150.4</v>
      </c>
      <c r="K34" s="62">
        <f t="shared" si="2"/>
        <v>0.33355570380253502</v>
      </c>
      <c r="L34" s="57"/>
      <c r="M34" s="20">
        <v>149.70000000000002</v>
      </c>
      <c r="N34" s="20">
        <f t="shared" si="3"/>
        <v>1.8420639489246031</v>
      </c>
      <c r="O34" s="20"/>
      <c r="P34" s="2">
        <v>150.4</v>
      </c>
    </row>
    <row r="35" spans="1:16" ht="15" thickBot="1" x14ac:dyDescent="0.4">
      <c r="A35" s="1" t="s">
        <v>30</v>
      </c>
      <c r="B35" s="2">
        <v>2020</v>
      </c>
      <c r="C35" s="1" t="s">
        <v>31</v>
      </c>
      <c r="D35" s="2">
        <v>150.4</v>
      </c>
      <c r="E35" s="61">
        <f t="shared" si="0"/>
        <v>0.33355570380253502</v>
      </c>
      <c r="F35" s="2"/>
      <c r="G35" s="2">
        <v>151.69999999999999</v>
      </c>
      <c r="H35" s="18">
        <f t="shared" si="1"/>
        <v>0.3306878306878307</v>
      </c>
      <c r="I35" s="2"/>
      <c r="J35" s="2">
        <v>155.69999999999999</v>
      </c>
      <c r="K35" s="62">
        <f t="shared" si="2"/>
        <v>0.58139534883719457</v>
      </c>
      <c r="L35" s="57"/>
      <c r="M35" s="20">
        <v>149.12307692307692</v>
      </c>
      <c r="N35" s="20">
        <f t="shared" si="3"/>
        <v>-0.12364760432763719</v>
      </c>
      <c r="O35" s="20"/>
      <c r="P35" s="2">
        <v>151.9</v>
      </c>
    </row>
    <row r="36" spans="1:16" ht="15" thickBot="1" x14ac:dyDescent="0.4">
      <c r="A36" s="1" t="s">
        <v>33</v>
      </c>
      <c r="B36" s="2">
        <v>2020</v>
      </c>
      <c r="C36" s="1" t="s">
        <v>31</v>
      </c>
      <c r="D36" s="2">
        <v>135.1</v>
      </c>
      <c r="E36" s="61">
        <f t="shared" si="0"/>
        <v>1.1227544910179641</v>
      </c>
      <c r="F36" s="2"/>
      <c r="G36" s="2">
        <v>140.1</v>
      </c>
      <c r="H36" s="61">
        <f t="shared" si="1"/>
        <v>0.21459227467809935</v>
      </c>
      <c r="I36" s="2"/>
      <c r="J36" s="2">
        <v>143.80000000000001</v>
      </c>
      <c r="K36" s="62">
        <f t="shared" si="2"/>
        <v>0.41899441340783716</v>
      </c>
      <c r="L36" s="57"/>
      <c r="M36" s="20">
        <v>149.64615384615382</v>
      </c>
      <c r="N36" s="20">
        <f t="shared" si="3"/>
        <v>-0.57750293862116586</v>
      </c>
      <c r="O36" s="20"/>
      <c r="P36" s="2">
        <v>148.19999999999999</v>
      </c>
    </row>
    <row r="37" spans="1:16" ht="15" thickBot="1" x14ac:dyDescent="0.4">
      <c r="A37" s="1" t="s">
        <v>34</v>
      </c>
      <c r="B37" s="2">
        <v>2020</v>
      </c>
      <c r="C37" s="1" t="s">
        <v>31</v>
      </c>
      <c r="D37" s="2">
        <v>144.6</v>
      </c>
      <c r="E37" s="61">
        <f t="shared" si="0"/>
        <v>0.62630480167015012</v>
      </c>
      <c r="F37" s="2"/>
      <c r="G37" s="2">
        <v>146.19999999999999</v>
      </c>
      <c r="H37" s="61">
        <f t="shared" si="1"/>
        <v>0.274348422496555</v>
      </c>
      <c r="I37" s="2"/>
      <c r="J37" s="2">
        <v>151.19999999999999</v>
      </c>
      <c r="K37" s="62">
        <f t="shared" si="2"/>
        <v>0.53191489361700994</v>
      </c>
      <c r="L37" s="57"/>
      <c r="M37" s="20">
        <v>149.26153846153846</v>
      </c>
      <c r="N37" s="20">
        <f t="shared" si="3"/>
        <v>-0.29289347926623438</v>
      </c>
      <c r="O37" s="20"/>
      <c r="P37" s="2">
        <v>150.19999999999999</v>
      </c>
    </row>
    <row r="38" spans="1:16" ht="15" thickBot="1" x14ac:dyDescent="0.4">
      <c r="A38" s="1" t="s">
        <v>30</v>
      </c>
      <c r="B38" s="2">
        <v>2020</v>
      </c>
      <c r="C38" s="1" t="s">
        <v>35</v>
      </c>
      <c r="D38" s="2">
        <v>152.30000000000001</v>
      </c>
      <c r="E38" s="61">
        <f t="shared" si="0"/>
        <v>1.2632978723404293</v>
      </c>
      <c r="F38" s="2"/>
      <c r="G38" s="2">
        <v>151.80000000000001</v>
      </c>
      <c r="H38" s="18">
        <f t="shared" si="1"/>
        <v>6.5919578114715049E-2</v>
      </c>
      <c r="I38" s="2"/>
      <c r="J38" s="2">
        <v>156.19999999999999</v>
      </c>
      <c r="K38" s="62">
        <f t="shared" si="2"/>
        <v>0.32113037893384716</v>
      </c>
      <c r="L38" s="57"/>
      <c r="M38" s="20">
        <v>146.90769230769229</v>
      </c>
      <c r="N38" s="20">
        <f t="shared" si="3"/>
        <v>-1.4856081708449533</v>
      </c>
      <c r="O38" s="20"/>
      <c r="P38" s="2">
        <v>150.4</v>
      </c>
    </row>
    <row r="39" spans="1:16" ht="15" thickBot="1" x14ac:dyDescent="0.4">
      <c r="A39" s="1" t="s">
        <v>33</v>
      </c>
      <c r="B39" s="2">
        <v>2020</v>
      </c>
      <c r="C39" s="1" t="s">
        <v>35</v>
      </c>
      <c r="D39" s="2">
        <v>138.9</v>
      </c>
      <c r="E39" s="61">
        <f t="shared" si="0"/>
        <v>2.812731310140645</v>
      </c>
      <c r="F39" s="2"/>
      <c r="G39" s="2">
        <v>140.4</v>
      </c>
      <c r="H39" s="61">
        <f t="shared" si="1"/>
        <v>0.21413276231264194</v>
      </c>
      <c r="I39" s="2"/>
      <c r="J39" s="2">
        <v>144.4</v>
      </c>
      <c r="K39" s="62">
        <f t="shared" si="2"/>
        <v>0.41724617524338964</v>
      </c>
      <c r="L39" s="57"/>
      <c r="M39" s="20">
        <v>147.43076923076922</v>
      </c>
      <c r="N39" s="20">
        <f t="shared" si="3"/>
        <v>-1.4804153387478103</v>
      </c>
      <c r="O39" s="20"/>
      <c r="P39" s="2">
        <v>147.69999999999999</v>
      </c>
    </row>
    <row r="40" spans="1:16" ht="15" thickBot="1" x14ac:dyDescent="0.4">
      <c r="A40" s="1" t="s">
        <v>34</v>
      </c>
      <c r="B40" s="2">
        <v>2020</v>
      </c>
      <c r="C40" s="1" t="s">
        <v>35</v>
      </c>
      <c r="D40" s="2">
        <v>147.19999999999999</v>
      </c>
      <c r="E40" s="61">
        <f t="shared" si="0"/>
        <v>1.7980636237897609</v>
      </c>
      <c r="F40" s="2"/>
      <c r="G40" s="2">
        <v>146.4</v>
      </c>
      <c r="H40" s="61">
        <f t="shared" si="1"/>
        <v>0.13679890560876679</v>
      </c>
      <c r="I40" s="2"/>
      <c r="J40" s="2">
        <v>151.69999999999999</v>
      </c>
      <c r="K40" s="62">
        <f t="shared" si="2"/>
        <v>0.3306878306878307</v>
      </c>
      <c r="L40" s="57"/>
      <c r="M40" s="20">
        <v>147.04615384615383</v>
      </c>
      <c r="N40" s="20">
        <f t="shared" si="3"/>
        <v>-1.4842300556586407</v>
      </c>
      <c r="O40" s="20"/>
      <c r="P40" s="2">
        <v>149.1</v>
      </c>
    </row>
    <row r="41" spans="1:16" ht="15" thickBot="1" x14ac:dyDescent="0.4">
      <c r="A41" s="1" t="s">
        <v>30</v>
      </c>
      <c r="B41" s="2">
        <v>2020</v>
      </c>
      <c r="C41" s="1" t="s">
        <v>36</v>
      </c>
      <c r="D41" s="2">
        <v>153.4</v>
      </c>
      <c r="E41" s="61"/>
      <c r="F41" s="2"/>
      <c r="G41" s="2">
        <v>151.5</v>
      </c>
      <c r="H41" s="18"/>
      <c r="I41" s="2"/>
      <c r="J41" s="2">
        <v>156.69999999999999</v>
      </c>
      <c r="K41" s="62"/>
      <c r="L41" s="57"/>
      <c r="M41" s="20">
        <v>145.73846153846151</v>
      </c>
      <c r="N41" s="20"/>
      <c r="O41" s="20"/>
      <c r="P41" s="2">
        <v>149.80000000000001</v>
      </c>
    </row>
    <row r="42" spans="1:16" ht="15" thickBot="1" x14ac:dyDescent="0.4">
      <c r="A42" s="1" t="s">
        <v>33</v>
      </c>
      <c r="B42" s="2">
        <v>2020</v>
      </c>
      <c r="C42" s="1" t="s">
        <v>36</v>
      </c>
      <c r="D42" s="2">
        <v>141.4</v>
      </c>
      <c r="E42" s="2"/>
      <c r="F42" s="2"/>
      <c r="G42" s="2">
        <v>140.80000000000001</v>
      </c>
      <c r="H42" s="2"/>
      <c r="I42" s="2"/>
      <c r="J42" s="2">
        <v>145</v>
      </c>
      <c r="K42" s="57"/>
      <c r="L42" s="57"/>
      <c r="M42" s="20">
        <v>146.03846153846155</v>
      </c>
      <c r="N42" s="20"/>
      <c r="O42" s="20"/>
      <c r="P42" s="2">
        <v>147.30000000000001</v>
      </c>
    </row>
    <row r="43" spans="1:16" ht="15" thickBot="1" x14ac:dyDescent="0.4">
      <c r="A43" s="1" t="s">
        <v>34</v>
      </c>
      <c r="B43" s="2">
        <v>2020</v>
      </c>
      <c r="C43" s="1" t="s">
        <v>36</v>
      </c>
      <c r="D43" s="2">
        <v>148.9</v>
      </c>
      <c r="E43" s="2"/>
      <c r="F43" s="2"/>
      <c r="G43" s="2">
        <v>146.4</v>
      </c>
      <c r="H43" s="2"/>
      <c r="I43" s="2"/>
      <c r="J43" s="2">
        <v>152.30000000000001</v>
      </c>
      <c r="K43" s="57"/>
      <c r="L43" s="57"/>
      <c r="M43" s="20">
        <v>145.80000000000001</v>
      </c>
      <c r="N43" s="20"/>
      <c r="O43" s="20"/>
      <c r="P43" s="2">
        <v>148.6</v>
      </c>
    </row>
    <row r="44" spans="1:16" ht="15" thickBot="1" x14ac:dyDescent="0.4">
      <c r="A44" s="1" t="s">
        <v>30</v>
      </c>
      <c r="B44" s="2">
        <v>2020</v>
      </c>
      <c r="C44" s="1" t="s">
        <v>37</v>
      </c>
      <c r="D44" s="2">
        <v>148.4</v>
      </c>
      <c r="E44" s="61">
        <f t="shared" ref="E44:E70" si="4">(D44-D41)/D41*100</f>
        <v>-3.259452411994785</v>
      </c>
      <c r="F44" s="2"/>
      <c r="G44" s="17">
        <v>151.54444444444445</v>
      </c>
      <c r="H44" s="18">
        <f t="shared" ref="H44:H70" si="5">(G44-G41)/G41*100</f>
        <v>2.9336266960033924E-2</v>
      </c>
      <c r="I44" s="17"/>
      <c r="J44" s="2">
        <v>154.30000000000001</v>
      </c>
      <c r="K44" s="62">
        <f t="shared" ref="K44:K70" si="6">(J44-J41)/J41*100</f>
        <v>-1.5315890236119831</v>
      </c>
      <c r="L44" s="57"/>
      <c r="M44" s="20">
        <v>150.14102564102566</v>
      </c>
      <c r="N44" s="20">
        <f t="shared" ref="N44:N70" si="7">(M44-M41)/M41*100</f>
        <v>3.0208663218269844</v>
      </c>
      <c r="O44" s="20"/>
      <c r="P44" s="17">
        <v>150.44444444444446</v>
      </c>
    </row>
    <row r="45" spans="1:16" ht="15" thickBot="1" x14ac:dyDescent="0.4">
      <c r="A45" s="1" t="s">
        <v>33</v>
      </c>
      <c r="B45" s="2">
        <v>2020</v>
      </c>
      <c r="C45" s="1" t="s">
        <v>37</v>
      </c>
      <c r="D45" s="2">
        <v>137.1</v>
      </c>
      <c r="E45" s="61">
        <f t="shared" si="4"/>
        <v>-3.041018387553049</v>
      </c>
      <c r="F45" s="2"/>
      <c r="G45" s="1">
        <v>140.4</v>
      </c>
      <c r="H45" s="61">
        <f t="shared" si="5"/>
        <v>-0.28409090909091311</v>
      </c>
      <c r="I45" s="1"/>
      <c r="J45" s="2">
        <v>144.80000000000001</v>
      </c>
      <c r="K45" s="62">
        <f t="shared" si="6"/>
        <v>-0.13793103448275079</v>
      </c>
      <c r="L45" s="57"/>
      <c r="M45" s="20">
        <v>151.84615384615384</v>
      </c>
      <c r="N45" s="20">
        <f t="shared" si="7"/>
        <v>3.9768238082696756</v>
      </c>
      <c r="O45" s="20"/>
      <c r="P45" s="17">
        <v>148.46666666666667</v>
      </c>
    </row>
    <row r="46" spans="1:16" ht="15" thickBot="1" x14ac:dyDescent="0.4">
      <c r="A46" s="1" t="s">
        <v>34</v>
      </c>
      <c r="B46" s="2">
        <v>2020</v>
      </c>
      <c r="C46" s="1" t="s">
        <v>37</v>
      </c>
      <c r="D46" s="2">
        <v>144.1</v>
      </c>
      <c r="E46" s="61">
        <f t="shared" si="4"/>
        <v>-3.2236400268636745</v>
      </c>
      <c r="F46" s="2"/>
      <c r="G46" s="1">
        <v>146.4</v>
      </c>
      <c r="H46" s="61">
        <f t="shared" si="5"/>
        <v>0</v>
      </c>
      <c r="I46" s="1"/>
      <c r="J46" s="2">
        <v>150.69999999999999</v>
      </c>
      <c r="K46" s="62">
        <f t="shared" si="6"/>
        <v>-1.0505581089954186</v>
      </c>
      <c r="L46" s="57"/>
      <c r="M46" s="20">
        <v>150.66153846153844</v>
      </c>
      <c r="N46" s="20">
        <f t="shared" si="7"/>
        <v>3.3343885195736824</v>
      </c>
      <c r="O46" s="20"/>
      <c r="P46" s="17">
        <v>149.66666666666666</v>
      </c>
    </row>
    <row r="47" spans="1:16" ht="15" thickBot="1" x14ac:dyDescent="0.4">
      <c r="A47" s="1" t="s">
        <v>30</v>
      </c>
      <c r="B47" s="2">
        <v>2020</v>
      </c>
      <c r="C47" s="1" t="s">
        <v>38</v>
      </c>
      <c r="D47" s="17">
        <v>146.65</v>
      </c>
      <c r="E47" s="61">
        <f t="shared" si="4"/>
        <v>-1.1792452830188678</v>
      </c>
      <c r="F47" s="17"/>
      <c r="G47" s="17">
        <v>151.63333333333333</v>
      </c>
      <c r="H47" s="18">
        <f t="shared" si="5"/>
        <v>5.8655326636840623E-2</v>
      </c>
      <c r="I47" s="17"/>
      <c r="J47" s="17">
        <v>156.25</v>
      </c>
      <c r="K47" s="62">
        <f t="shared" si="6"/>
        <v>1.2637718729747172</v>
      </c>
      <c r="L47" s="58"/>
      <c r="M47" s="20">
        <v>150.03974358974361</v>
      </c>
      <c r="N47" s="20">
        <f t="shared" si="7"/>
        <v>-6.7457945521307461E-2</v>
      </c>
      <c r="O47" s="20"/>
      <c r="P47" s="17">
        <v>151.73333333333332</v>
      </c>
    </row>
    <row r="48" spans="1:16" ht="15" thickBot="1" x14ac:dyDescent="0.4">
      <c r="A48" s="1" t="s">
        <v>33</v>
      </c>
      <c r="B48" s="2">
        <v>2020</v>
      </c>
      <c r="C48" s="1" t="s">
        <v>38</v>
      </c>
      <c r="D48" s="19">
        <v>137.1</v>
      </c>
      <c r="E48" s="61">
        <f t="shared" si="4"/>
        <v>0</v>
      </c>
      <c r="F48" s="19"/>
      <c r="G48" s="17">
        <v>140.53333333333333</v>
      </c>
      <c r="H48" s="61">
        <f t="shared" si="5"/>
        <v>9.4966761633422894E-2</v>
      </c>
      <c r="I48" s="17"/>
      <c r="J48" s="19">
        <v>146.44999999999999</v>
      </c>
      <c r="K48" s="62">
        <f t="shared" si="6"/>
        <v>1.1395027624309235</v>
      </c>
      <c r="L48" s="59"/>
      <c r="M48" s="20">
        <v>152.65384615384616</v>
      </c>
      <c r="N48" s="20">
        <f t="shared" si="7"/>
        <v>0.53191489361702993</v>
      </c>
      <c r="O48" s="20"/>
      <c r="P48" s="17">
        <v>149.63333333333335</v>
      </c>
    </row>
    <row r="49" spans="1:16" ht="15" thickBot="1" x14ac:dyDescent="0.4">
      <c r="A49" s="1" t="s">
        <v>34</v>
      </c>
      <c r="B49" s="2">
        <v>2020</v>
      </c>
      <c r="C49" s="1" t="s">
        <v>38</v>
      </c>
      <c r="D49" s="9">
        <v>143</v>
      </c>
      <c r="E49" s="61">
        <f t="shared" si="4"/>
        <v>-0.76335877862595025</v>
      </c>
      <c r="F49" s="9"/>
      <c r="G49" s="1">
        <v>146.4</v>
      </c>
      <c r="H49" s="61">
        <f t="shared" si="5"/>
        <v>0</v>
      </c>
      <c r="I49" s="1"/>
      <c r="J49" s="9">
        <v>152.55000000000001</v>
      </c>
      <c r="K49" s="62">
        <f t="shared" si="6"/>
        <v>1.2276045122760604</v>
      </c>
      <c r="L49" s="60"/>
      <c r="M49" s="20">
        <v>150.97692307692307</v>
      </c>
      <c r="N49" s="20">
        <f t="shared" si="7"/>
        <v>0.20933319718167026</v>
      </c>
      <c r="O49" s="20"/>
      <c r="P49" s="16">
        <v>150.73333333333335</v>
      </c>
    </row>
    <row r="50" spans="1:16" ht="15" thickBot="1" x14ac:dyDescent="0.4">
      <c r="A50" s="1" t="s">
        <v>30</v>
      </c>
      <c r="B50" s="2">
        <v>2020</v>
      </c>
      <c r="C50" s="1" t="s">
        <v>39</v>
      </c>
      <c r="D50" s="2">
        <v>144.9</v>
      </c>
      <c r="E50" s="61">
        <f t="shared" si="4"/>
        <v>-1.1933174224343674</v>
      </c>
      <c r="F50" s="2"/>
      <c r="G50" s="18">
        <v>151.69999999999999</v>
      </c>
      <c r="H50" s="18">
        <f t="shared" si="5"/>
        <v>4.3965706748733485E-2</v>
      </c>
      <c r="I50" s="18"/>
      <c r="J50" s="2">
        <v>158.19999999999999</v>
      </c>
      <c r="K50" s="62">
        <f t="shared" si="6"/>
        <v>1.2479999999999927</v>
      </c>
      <c r="L50" s="57"/>
      <c r="M50" s="20">
        <v>150.07692307692307</v>
      </c>
      <c r="N50" s="20">
        <f t="shared" si="7"/>
        <v>2.4779759209078819E-2</v>
      </c>
      <c r="O50" s="20"/>
      <c r="P50" s="2">
        <v>152.69999999999999</v>
      </c>
    </row>
    <row r="51" spans="1:16" ht="15" thickBot="1" x14ac:dyDescent="0.4">
      <c r="A51" s="1" t="s">
        <v>33</v>
      </c>
      <c r="B51" s="2">
        <v>2020</v>
      </c>
      <c r="C51" s="1" t="s">
        <v>39</v>
      </c>
      <c r="D51" s="2">
        <v>137.1</v>
      </c>
      <c r="E51" s="61">
        <f t="shared" si="4"/>
        <v>0</v>
      </c>
      <c r="F51" s="2"/>
      <c r="G51" s="2">
        <v>140.4</v>
      </c>
      <c r="H51" s="61">
        <f t="shared" si="5"/>
        <v>-9.4876660341550595E-2</v>
      </c>
      <c r="I51" s="2"/>
      <c r="J51" s="2">
        <v>148.1</v>
      </c>
      <c r="K51" s="62">
        <f t="shared" si="6"/>
        <v>1.1266643905769929</v>
      </c>
      <c r="L51" s="57"/>
      <c r="M51" s="20">
        <v>153.46153846153845</v>
      </c>
      <c r="N51" s="20">
        <f t="shared" si="7"/>
        <v>0.52910052910051897</v>
      </c>
      <c r="O51" s="20"/>
      <c r="P51" s="2">
        <v>150.80000000000001</v>
      </c>
    </row>
    <row r="52" spans="1:16" ht="15" thickBot="1" x14ac:dyDescent="0.4">
      <c r="A52" s="1" t="s">
        <v>34</v>
      </c>
      <c r="B52" s="2">
        <v>2020</v>
      </c>
      <c r="C52" s="1" t="s">
        <v>39</v>
      </c>
      <c r="D52" s="2">
        <v>141.9</v>
      </c>
      <c r="E52" s="61">
        <f t="shared" si="4"/>
        <v>-0.76923076923076528</v>
      </c>
      <c r="F52" s="2"/>
      <c r="G52" s="2">
        <v>146.4</v>
      </c>
      <c r="H52" s="61">
        <f t="shared" si="5"/>
        <v>0</v>
      </c>
      <c r="I52" s="2"/>
      <c r="J52" s="2">
        <v>154.4</v>
      </c>
      <c r="K52" s="62">
        <f t="shared" si="6"/>
        <v>1.2127171419206779</v>
      </c>
      <c r="L52" s="57"/>
      <c r="M52" s="20">
        <v>151.2923076923077</v>
      </c>
      <c r="N52" s="20">
        <f t="shared" si="7"/>
        <v>0.2088959086972127</v>
      </c>
      <c r="O52" s="20"/>
      <c r="P52" s="2">
        <v>151.80000000000001</v>
      </c>
    </row>
    <row r="53" spans="1:16" ht="15" thickBot="1" x14ac:dyDescent="0.4">
      <c r="A53" s="1" t="s">
        <v>30</v>
      </c>
      <c r="B53" s="2">
        <v>2020</v>
      </c>
      <c r="C53" s="1" t="s">
        <v>40</v>
      </c>
      <c r="D53" s="2">
        <v>144.9</v>
      </c>
      <c r="E53" s="61">
        <f t="shared" si="4"/>
        <v>0</v>
      </c>
      <c r="F53" s="2"/>
      <c r="G53" s="2">
        <v>151.69999999999999</v>
      </c>
      <c r="H53" s="18">
        <f t="shared" si="5"/>
        <v>0</v>
      </c>
      <c r="I53" s="2"/>
      <c r="J53" s="2">
        <v>158.19999999999999</v>
      </c>
      <c r="K53" s="62">
        <f t="shared" si="6"/>
        <v>0</v>
      </c>
      <c r="L53" s="57"/>
      <c r="M53" s="20">
        <v>150.07692307692307</v>
      </c>
      <c r="N53" s="20">
        <f t="shared" si="7"/>
        <v>0</v>
      </c>
      <c r="O53" s="20"/>
      <c r="P53" s="2">
        <v>152.69999999999999</v>
      </c>
    </row>
    <row r="54" spans="1:16" ht="15" thickBot="1" x14ac:dyDescent="0.4">
      <c r="A54" s="1" t="s">
        <v>33</v>
      </c>
      <c r="B54" s="2">
        <v>2020</v>
      </c>
      <c r="C54" s="1" t="s">
        <v>40</v>
      </c>
      <c r="D54" s="2">
        <v>137.1</v>
      </c>
      <c r="E54" s="61">
        <f t="shared" si="4"/>
        <v>0</v>
      </c>
      <c r="F54" s="2"/>
      <c r="G54" s="2">
        <v>140.4</v>
      </c>
      <c r="H54" s="61">
        <f t="shared" si="5"/>
        <v>0</v>
      </c>
      <c r="I54" s="2"/>
      <c r="J54" s="2">
        <v>148.1</v>
      </c>
      <c r="K54" s="62">
        <f t="shared" si="6"/>
        <v>0</v>
      </c>
      <c r="L54" s="57"/>
      <c r="M54" s="20">
        <v>153.46153846153845</v>
      </c>
      <c r="N54" s="20">
        <f t="shared" si="7"/>
        <v>0</v>
      </c>
      <c r="O54" s="20"/>
      <c r="P54" s="2">
        <v>150.80000000000001</v>
      </c>
    </row>
    <row r="55" spans="1:16" ht="15" thickBot="1" x14ac:dyDescent="0.4">
      <c r="A55" s="1" t="s">
        <v>34</v>
      </c>
      <c r="B55" s="2">
        <v>2020</v>
      </c>
      <c r="C55" s="1" t="s">
        <v>40</v>
      </c>
      <c r="D55" s="2">
        <v>141.9</v>
      </c>
      <c r="E55" s="61">
        <f t="shared" si="4"/>
        <v>0</v>
      </c>
      <c r="F55" s="2"/>
      <c r="G55" s="2">
        <v>146.4</v>
      </c>
      <c r="H55" s="61">
        <f t="shared" si="5"/>
        <v>0</v>
      </c>
      <c r="I55" s="2"/>
      <c r="J55" s="2">
        <v>154.4</v>
      </c>
      <c r="K55" s="62">
        <f t="shared" si="6"/>
        <v>0</v>
      </c>
      <c r="L55" s="57"/>
      <c r="M55" s="20">
        <v>151.2923076923077</v>
      </c>
      <c r="N55" s="20">
        <f t="shared" si="7"/>
        <v>0</v>
      </c>
      <c r="O55" s="20"/>
      <c r="P55" s="2">
        <v>151.80000000000001</v>
      </c>
    </row>
    <row r="56" spans="1:16" ht="15" thickBot="1" x14ac:dyDescent="0.4">
      <c r="A56" s="1" t="s">
        <v>30</v>
      </c>
      <c r="B56" s="2">
        <v>2020</v>
      </c>
      <c r="C56" s="1" t="s">
        <v>41</v>
      </c>
      <c r="D56" s="2">
        <v>145.80000000000001</v>
      </c>
      <c r="E56" s="61">
        <f t="shared" si="4"/>
        <v>0.62111801242236409</v>
      </c>
      <c r="F56" s="2"/>
      <c r="G56" s="2">
        <v>151.9</v>
      </c>
      <c r="H56" s="18">
        <f t="shared" si="5"/>
        <v>0.13183915622941136</v>
      </c>
      <c r="I56" s="2"/>
      <c r="J56" s="2">
        <v>158.80000000000001</v>
      </c>
      <c r="K56" s="62">
        <f t="shared" si="6"/>
        <v>0.37926675094818124</v>
      </c>
      <c r="L56" s="57"/>
      <c r="M56" s="20">
        <v>152.19999999999999</v>
      </c>
      <c r="N56" s="20">
        <f t="shared" si="7"/>
        <v>1.4146591491542797</v>
      </c>
      <c r="O56" s="20"/>
      <c r="P56" s="2">
        <v>154.69999999999999</v>
      </c>
    </row>
    <row r="57" spans="1:16" ht="15" thickBot="1" x14ac:dyDescent="0.4">
      <c r="A57" s="1" t="s">
        <v>33</v>
      </c>
      <c r="B57" s="2">
        <v>2020</v>
      </c>
      <c r="C57" s="1" t="s">
        <v>41</v>
      </c>
      <c r="D57" s="2">
        <v>138.30000000000001</v>
      </c>
      <c r="E57" s="61">
        <f t="shared" si="4"/>
        <v>0.87527352297594241</v>
      </c>
      <c r="F57" s="2"/>
      <c r="G57" s="2">
        <v>144.5</v>
      </c>
      <c r="H57" s="61">
        <f t="shared" si="5"/>
        <v>2.9202279202279158</v>
      </c>
      <c r="I57" s="2"/>
      <c r="J57" s="2">
        <v>148.69999999999999</v>
      </c>
      <c r="K57" s="62">
        <f t="shared" si="6"/>
        <v>0.40513166779202858</v>
      </c>
      <c r="L57" s="57"/>
      <c r="M57" s="20">
        <v>155.76153846153846</v>
      </c>
      <c r="N57" s="20">
        <f t="shared" si="7"/>
        <v>1.4987468671679274</v>
      </c>
      <c r="O57" s="20"/>
      <c r="P57" s="2">
        <v>152.9</v>
      </c>
    </row>
    <row r="58" spans="1:16" ht="15" thickBot="1" x14ac:dyDescent="0.4">
      <c r="A58" s="1" t="s">
        <v>34</v>
      </c>
      <c r="B58" s="2">
        <v>2020</v>
      </c>
      <c r="C58" s="1" t="s">
        <v>41</v>
      </c>
      <c r="D58" s="2">
        <v>143</v>
      </c>
      <c r="E58" s="61">
        <f t="shared" si="4"/>
        <v>0.77519379844960845</v>
      </c>
      <c r="F58" s="2"/>
      <c r="G58" s="2">
        <v>148.4</v>
      </c>
      <c r="H58" s="61">
        <f t="shared" si="5"/>
        <v>1.3661202185792349</v>
      </c>
      <c r="I58" s="2"/>
      <c r="J58" s="2">
        <v>155</v>
      </c>
      <c r="K58" s="62">
        <f t="shared" si="6"/>
        <v>0.38860103626942638</v>
      </c>
      <c r="L58" s="57"/>
      <c r="M58" s="20">
        <v>153.47692307692307</v>
      </c>
      <c r="N58" s="20">
        <f t="shared" si="7"/>
        <v>1.4439699003457294</v>
      </c>
      <c r="O58" s="20"/>
      <c r="P58" s="2">
        <v>153.9</v>
      </c>
    </row>
    <row r="59" spans="1:16" ht="15" thickBot="1" x14ac:dyDescent="0.4">
      <c r="A59" s="1" t="s">
        <v>30</v>
      </c>
      <c r="B59" s="2">
        <v>2020</v>
      </c>
      <c r="C59" s="1" t="s">
        <v>42</v>
      </c>
      <c r="D59" s="2">
        <v>146.4</v>
      </c>
      <c r="E59" s="61">
        <f t="shared" si="4"/>
        <v>0.41152263374485198</v>
      </c>
      <c r="F59" s="2"/>
      <c r="G59" s="2">
        <v>151.6</v>
      </c>
      <c r="H59" s="18">
        <f t="shared" si="5"/>
        <v>-0.1974983541803893</v>
      </c>
      <c r="I59" s="2"/>
      <c r="J59" s="2">
        <v>159.1</v>
      </c>
      <c r="K59" s="62">
        <f t="shared" si="6"/>
        <v>0.18891687657429654</v>
      </c>
      <c r="L59" s="57"/>
      <c r="M59" s="20">
        <v>152.87692307692308</v>
      </c>
      <c r="N59" s="20">
        <f t="shared" si="7"/>
        <v>0.44475892044880999</v>
      </c>
      <c r="O59" s="20"/>
      <c r="P59" s="2">
        <v>155.4</v>
      </c>
    </row>
    <row r="60" spans="1:16" ht="15" thickBot="1" x14ac:dyDescent="0.4">
      <c r="A60" s="1" t="s">
        <v>33</v>
      </c>
      <c r="B60" s="2">
        <v>2020</v>
      </c>
      <c r="C60" s="1" t="s">
        <v>42</v>
      </c>
      <c r="D60" s="2">
        <v>137.19999999999999</v>
      </c>
      <c r="E60" s="61">
        <f t="shared" si="4"/>
        <v>-0.79537237888649504</v>
      </c>
      <c r="F60" s="2"/>
      <c r="G60" s="2">
        <v>145.4</v>
      </c>
      <c r="H60" s="61">
        <f t="shared" si="5"/>
        <v>0.62283737024221841</v>
      </c>
      <c r="I60" s="2"/>
      <c r="J60" s="2">
        <v>150</v>
      </c>
      <c r="K60" s="62">
        <f t="shared" si="6"/>
        <v>0.8742434431741839</v>
      </c>
      <c r="L60" s="57"/>
      <c r="M60" s="20">
        <v>157.04615384615386</v>
      </c>
      <c r="N60" s="20">
        <f t="shared" si="7"/>
        <v>0.82473208553509314</v>
      </c>
      <c r="O60" s="20"/>
      <c r="P60" s="2">
        <v>154</v>
      </c>
    </row>
    <row r="61" spans="1:16" ht="15" thickBot="1" x14ac:dyDescent="0.4">
      <c r="A61" s="1" t="s">
        <v>34</v>
      </c>
      <c r="B61" s="2">
        <v>2020</v>
      </c>
      <c r="C61" s="1" t="s">
        <v>42</v>
      </c>
      <c r="D61" s="2">
        <v>142.9</v>
      </c>
      <c r="E61" s="61">
        <f t="shared" si="4"/>
        <v>-6.9930069930065952E-2</v>
      </c>
      <c r="F61" s="2"/>
      <c r="G61" s="2">
        <v>148.69999999999999</v>
      </c>
      <c r="H61" s="61">
        <f t="shared" si="5"/>
        <v>0.20215633423179444</v>
      </c>
      <c r="I61" s="2"/>
      <c r="J61" s="2">
        <v>155.6</v>
      </c>
      <c r="K61" s="62">
        <f t="shared" si="6"/>
        <v>0.38709677419354471</v>
      </c>
      <c r="L61" s="57"/>
      <c r="M61" s="20">
        <v>154.38461538461539</v>
      </c>
      <c r="N61" s="20">
        <f t="shared" si="7"/>
        <v>0.59141940657578673</v>
      </c>
      <c r="O61" s="20"/>
      <c r="P61" s="2">
        <v>154.69999999999999</v>
      </c>
    </row>
    <row r="62" spans="1:16" ht="15" thickBot="1" x14ac:dyDescent="0.4">
      <c r="A62" s="1" t="s">
        <v>30</v>
      </c>
      <c r="B62" s="2">
        <v>2020</v>
      </c>
      <c r="C62" s="1" t="s">
        <v>43</v>
      </c>
      <c r="D62" s="2">
        <v>146.80000000000001</v>
      </c>
      <c r="E62" s="61">
        <f t="shared" si="4"/>
        <v>0.27322404371585085</v>
      </c>
      <c r="F62" s="2"/>
      <c r="G62" s="2">
        <v>152</v>
      </c>
      <c r="H62" s="18">
        <f t="shared" si="5"/>
        <v>0.2638522427440671</v>
      </c>
      <c r="I62" s="2"/>
      <c r="J62" s="2">
        <v>159.5</v>
      </c>
      <c r="K62" s="62">
        <f t="shared" si="6"/>
        <v>0.25141420490258054</v>
      </c>
      <c r="L62" s="57"/>
      <c r="M62" s="20">
        <v>156.22307692307692</v>
      </c>
      <c r="N62" s="20">
        <f t="shared" si="7"/>
        <v>2.1887893730502119</v>
      </c>
      <c r="O62" s="20"/>
      <c r="P62" s="2">
        <v>157.5</v>
      </c>
    </row>
    <row r="63" spans="1:16" ht="15" thickBot="1" x14ac:dyDescent="0.4">
      <c r="A63" s="1" t="s">
        <v>33</v>
      </c>
      <c r="B63" s="2">
        <v>2020</v>
      </c>
      <c r="C63" s="1" t="s">
        <v>43</v>
      </c>
      <c r="D63" s="2">
        <v>137.1</v>
      </c>
      <c r="E63" s="61">
        <f t="shared" si="4"/>
        <v>-7.2886297376089162E-2</v>
      </c>
      <c r="F63" s="2"/>
      <c r="G63" s="2">
        <v>145.1</v>
      </c>
      <c r="H63" s="61">
        <f t="shared" si="5"/>
        <v>-0.20632737276479463</v>
      </c>
      <c r="I63" s="2"/>
      <c r="J63" s="2">
        <v>151</v>
      </c>
      <c r="K63" s="62">
        <f t="shared" si="6"/>
        <v>0.66666666666666674</v>
      </c>
      <c r="L63" s="57"/>
      <c r="M63" s="20">
        <v>160.01538461538459</v>
      </c>
      <c r="N63" s="20">
        <f t="shared" si="7"/>
        <v>1.8906739811911999</v>
      </c>
      <c r="O63" s="20"/>
      <c r="P63" s="2">
        <v>155.19999999999999</v>
      </c>
    </row>
    <row r="64" spans="1:16" ht="15" thickBot="1" x14ac:dyDescent="0.4">
      <c r="A64" s="1" t="s">
        <v>34</v>
      </c>
      <c r="B64" s="2">
        <v>2020</v>
      </c>
      <c r="C64" s="1" t="s">
        <v>43</v>
      </c>
      <c r="D64" s="2">
        <v>143.1</v>
      </c>
      <c r="E64" s="61">
        <f t="shared" si="4"/>
        <v>0.13995801259621315</v>
      </c>
      <c r="F64" s="2"/>
      <c r="G64" s="2">
        <v>148.69999999999999</v>
      </c>
      <c r="H64" s="61">
        <f t="shared" si="5"/>
        <v>0</v>
      </c>
      <c r="I64" s="2"/>
      <c r="J64" s="2">
        <v>156.30000000000001</v>
      </c>
      <c r="K64" s="62">
        <f t="shared" si="6"/>
        <v>0.44987146529564076</v>
      </c>
      <c r="L64" s="57"/>
      <c r="M64" s="20">
        <v>157.5846153846154</v>
      </c>
      <c r="N64" s="20">
        <f t="shared" si="7"/>
        <v>2.0727453911310523</v>
      </c>
      <c r="O64" s="20"/>
      <c r="P64" s="2">
        <v>156.4</v>
      </c>
    </row>
    <row r="65" spans="1:16" ht="15" thickBot="1" x14ac:dyDescent="0.4">
      <c r="A65" s="1" t="s">
        <v>30</v>
      </c>
      <c r="B65" s="2">
        <v>2020</v>
      </c>
      <c r="C65" s="1" t="s">
        <v>44</v>
      </c>
      <c r="D65" s="2">
        <v>147.5</v>
      </c>
      <c r="E65" s="61">
        <f t="shared" si="4"/>
        <v>0.47683923705721293</v>
      </c>
      <c r="F65" s="2"/>
      <c r="G65" s="2">
        <v>152.80000000000001</v>
      </c>
      <c r="H65" s="18">
        <f t="shared" si="5"/>
        <v>0.52631578947369162</v>
      </c>
      <c r="I65" s="2"/>
      <c r="J65" s="2">
        <v>160.4</v>
      </c>
      <c r="K65" s="62">
        <f t="shared" si="6"/>
        <v>0.56426332288401615</v>
      </c>
      <c r="L65" s="57"/>
      <c r="M65" s="20">
        <v>160.1846153846154</v>
      </c>
      <c r="N65" s="20">
        <f t="shared" si="7"/>
        <v>2.5358215569452094</v>
      </c>
      <c r="O65" s="20"/>
      <c r="P65" s="2">
        <v>159.80000000000001</v>
      </c>
    </row>
    <row r="66" spans="1:16" ht="15" thickBot="1" x14ac:dyDescent="0.4">
      <c r="A66" s="1" t="s">
        <v>33</v>
      </c>
      <c r="B66" s="2">
        <v>2020</v>
      </c>
      <c r="C66" s="1" t="s">
        <v>44</v>
      </c>
      <c r="D66" s="2">
        <v>137.30000000000001</v>
      </c>
      <c r="E66" s="61">
        <f t="shared" si="4"/>
        <v>0.14587892049600079</v>
      </c>
      <c r="F66" s="2"/>
      <c r="G66" s="2">
        <v>145.1</v>
      </c>
      <c r="H66" s="61">
        <f t="shared" si="5"/>
        <v>0</v>
      </c>
      <c r="I66" s="2"/>
      <c r="J66" s="2">
        <v>152</v>
      </c>
      <c r="K66" s="62">
        <f t="shared" si="6"/>
        <v>0.66225165562913912</v>
      </c>
      <c r="L66" s="57"/>
      <c r="M66" s="20">
        <v>163.1307692307692</v>
      </c>
      <c r="N66" s="20">
        <f t="shared" si="7"/>
        <v>1.9469281799826927</v>
      </c>
      <c r="O66" s="20"/>
      <c r="P66" s="2">
        <v>156.69999999999999</v>
      </c>
    </row>
    <row r="67" spans="1:16" ht="15" thickBot="1" x14ac:dyDescent="0.4">
      <c r="A67" s="1" t="s">
        <v>34</v>
      </c>
      <c r="B67" s="2">
        <v>2020</v>
      </c>
      <c r="C67" s="1" t="s">
        <v>44</v>
      </c>
      <c r="D67" s="2">
        <v>143.6</v>
      </c>
      <c r="E67" s="61">
        <f t="shared" si="4"/>
        <v>0.34940600978336828</v>
      </c>
      <c r="F67" s="2"/>
      <c r="G67" s="2">
        <v>149.19999999999999</v>
      </c>
      <c r="H67" s="61">
        <f t="shared" si="5"/>
        <v>0.33624747814391392</v>
      </c>
      <c r="I67" s="2"/>
      <c r="J67" s="2">
        <v>157.19999999999999</v>
      </c>
      <c r="K67" s="62">
        <f t="shared" si="6"/>
        <v>0.57581573896351712</v>
      </c>
      <c r="L67" s="57"/>
      <c r="M67" s="20">
        <v>161.19999999999999</v>
      </c>
      <c r="N67" s="20">
        <f t="shared" si="7"/>
        <v>2.2942497315239478</v>
      </c>
      <c r="O67" s="20"/>
      <c r="P67" s="2">
        <v>158.4</v>
      </c>
    </row>
    <row r="68" spans="1:16" ht="15" thickBot="1" x14ac:dyDescent="0.4">
      <c r="A68" s="1" t="s">
        <v>30</v>
      </c>
      <c r="B68" s="2">
        <v>2020</v>
      </c>
      <c r="C68" s="1" t="s">
        <v>45</v>
      </c>
      <c r="D68" s="2">
        <v>148.69999999999999</v>
      </c>
      <c r="E68" s="61">
        <f t="shared" si="4"/>
        <v>0.8135593220338907</v>
      </c>
      <c r="F68" s="2"/>
      <c r="G68" s="2">
        <v>153.4</v>
      </c>
      <c r="H68" s="18">
        <f t="shared" si="5"/>
        <v>0.39267015706805908</v>
      </c>
      <c r="I68" s="2"/>
      <c r="J68" s="2">
        <v>161.6</v>
      </c>
      <c r="K68" s="62">
        <f t="shared" si="6"/>
        <v>0.74812967581046663</v>
      </c>
      <c r="L68" s="57"/>
      <c r="M68" s="20">
        <v>161.57692307692307</v>
      </c>
      <c r="N68" s="20">
        <f t="shared" si="7"/>
        <v>0.86918939684977348</v>
      </c>
      <c r="O68" s="20"/>
      <c r="P68" s="2">
        <v>160.69999999999999</v>
      </c>
    </row>
    <row r="69" spans="1:16" ht="15" thickBot="1" x14ac:dyDescent="0.4">
      <c r="A69" s="1" t="s">
        <v>33</v>
      </c>
      <c r="B69" s="2">
        <v>2020</v>
      </c>
      <c r="C69" s="1" t="s">
        <v>45</v>
      </c>
      <c r="D69" s="2">
        <v>137.9</v>
      </c>
      <c r="E69" s="61">
        <f t="shared" si="4"/>
        <v>0.43699927166787639</v>
      </c>
      <c r="F69" s="2"/>
      <c r="G69" s="2">
        <v>145.5</v>
      </c>
      <c r="H69" s="61">
        <f t="shared" si="5"/>
        <v>0.2756719503790529</v>
      </c>
      <c r="I69" s="2"/>
      <c r="J69" s="2">
        <v>152.9</v>
      </c>
      <c r="K69" s="62">
        <f t="shared" si="6"/>
        <v>0.59210526315789846</v>
      </c>
      <c r="L69" s="57"/>
      <c r="M69" s="20">
        <v>163.49230769230769</v>
      </c>
      <c r="N69" s="20">
        <f t="shared" si="7"/>
        <v>0.2216249351629335</v>
      </c>
      <c r="O69" s="20"/>
      <c r="P69" s="2">
        <v>156.9</v>
      </c>
    </row>
    <row r="70" spans="1:16" ht="15" thickBot="1" x14ac:dyDescent="0.4">
      <c r="A70" s="1" t="s">
        <v>34</v>
      </c>
      <c r="B70" s="2">
        <v>2020</v>
      </c>
      <c r="C70" s="1" t="s">
        <v>45</v>
      </c>
      <c r="D70" s="2">
        <v>144.6</v>
      </c>
      <c r="E70" s="61">
        <f t="shared" si="4"/>
        <v>0.69637883008356549</v>
      </c>
      <c r="F70" s="2"/>
      <c r="G70" s="2">
        <v>149.69999999999999</v>
      </c>
      <c r="H70" s="61">
        <f t="shared" si="5"/>
        <v>0.33512064343163539</v>
      </c>
      <c r="I70" s="2"/>
      <c r="J70" s="2">
        <v>158.30000000000001</v>
      </c>
      <c r="K70" s="62">
        <f t="shared" si="6"/>
        <v>0.69974554707380587</v>
      </c>
      <c r="L70" s="57"/>
      <c r="M70" s="20">
        <v>162.23846153846154</v>
      </c>
      <c r="N70" s="20">
        <f t="shared" si="7"/>
        <v>0.64420690971560002</v>
      </c>
      <c r="O70" s="20"/>
      <c r="P70" s="2">
        <v>158.9</v>
      </c>
    </row>
    <row r="71" spans="1:16" x14ac:dyDescent="0.35">
      <c r="M71" s="20"/>
      <c r="N71" s="20"/>
      <c r="O71" s="20"/>
    </row>
    <row r="72" spans="1:16" x14ac:dyDescent="0.35">
      <c r="M72" s="20"/>
      <c r="N72" s="20"/>
      <c r="O72" s="20"/>
    </row>
    <row r="73" spans="1:16" ht="15" thickBot="1" x14ac:dyDescent="0.4">
      <c r="B73" s="73" t="s">
        <v>30</v>
      </c>
      <c r="C73" s="73"/>
      <c r="D73" s="73"/>
      <c r="E73" s="73"/>
      <c r="F73" s="36"/>
      <c r="G73" s="73" t="s">
        <v>33</v>
      </c>
      <c r="H73" s="73"/>
      <c r="I73" s="73"/>
      <c r="J73" s="73"/>
      <c r="K73" s="36"/>
      <c r="L73" s="73" t="s">
        <v>70</v>
      </c>
      <c r="M73" s="73"/>
      <c r="N73" s="73"/>
      <c r="O73" s="73"/>
    </row>
    <row r="74" spans="1:16" ht="15" thickBot="1" x14ac:dyDescent="0.4">
      <c r="B74" s="65" t="s">
        <v>69</v>
      </c>
      <c r="C74" s="12" t="s">
        <v>68</v>
      </c>
      <c r="D74" s="12" t="s">
        <v>23</v>
      </c>
      <c r="E74" s="66" t="s">
        <v>48</v>
      </c>
      <c r="G74" s="65" t="s">
        <v>69</v>
      </c>
      <c r="H74" s="12" t="s">
        <v>68</v>
      </c>
      <c r="I74" s="66" t="s">
        <v>23</v>
      </c>
      <c r="J74" s="33" t="s">
        <v>48</v>
      </c>
      <c r="L74" s="65" t="s">
        <v>69</v>
      </c>
      <c r="M74" s="12" t="s">
        <v>68</v>
      </c>
      <c r="N74" s="12" t="s">
        <v>23</v>
      </c>
      <c r="O74" s="66" t="s">
        <v>48</v>
      </c>
    </row>
    <row r="75" spans="1:16" ht="51.5" customHeight="1" x14ac:dyDescent="0.35">
      <c r="A75" s="63" t="s">
        <v>71</v>
      </c>
      <c r="B75" s="62">
        <f>AVERAGE(E5:E38)</f>
        <v>0.37663471988977282</v>
      </c>
      <c r="C75" s="20">
        <f>AVERAGE(H5:H38)</f>
        <v>0.16702644532548316</v>
      </c>
      <c r="D75" s="23">
        <f>AVERAGE(K5:K38)</f>
        <v>0.37419457563221986</v>
      </c>
      <c r="E75" s="20">
        <f>AVERAGE(N5:N38)</f>
        <v>0.86676139749251602</v>
      </c>
      <c r="G75" s="23">
        <f>AVERAGE(E6:E39)</f>
        <v>0.47746784887153843</v>
      </c>
      <c r="H75" s="23">
        <f>AVERAGE(H6:H39)</f>
        <v>0.17332446774644319</v>
      </c>
      <c r="I75" s="23">
        <f>AVERAGE(K6:K39)</f>
        <v>0.38056844080531088</v>
      </c>
      <c r="J75" s="20">
        <f>AVERAGE(N6:N39)</f>
        <v>0.82288546930595197</v>
      </c>
      <c r="L75" s="23">
        <f>AVERAGE(E7:E40)</f>
        <v>0.56465817501264248</v>
      </c>
      <c r="M75" s="23">
        <f>AVERAGE(H7:H40)</f>
        <v>0.17087435571728532</v>
      </c>
      <c r="N75" s="23">
        <f>AVERAGE(K7:K40)</f>
        <v>0.37535388925335661</v>
      </c>
      <c r="O75" s="20">
        <f>AVERAGE(N7:N40)</f>
        <v>0.76220138423414863</v>
      </c>
    </row>
    <row r="77" spans="1:16" ht="43" customHeight="1" x14ac:dyDescent="0.35">
      <c r="A77" s="64" t="s">
        <v>72</v>
      </c>
      <c r="B77" s="23">
        <f>AVERAGE(E44:E68)</f>
        <v>-0.37941913250555215</v>
      </c>
      <c r="C77" s="20">
        <f>AVERAGE(H44:H68)</f>
        <v>0.24825589730166761</v>
      </c>
      <c r="D77" s="23">
        <f>AVERAGE(K44:K68)</f>
        <v>0.44159407168771592</v>
      </c>
      <c r="E77" s="20">
        <f>AVERAGE(N44:N68)</f>
        <v>1.2714131572742504</v>
      </c>
      <c r="G77" s="23">
        <f>AVERAGE(E45:E69)</f>
        <v>-0.23156106515904568</v>
      </c>
      <c r="H77" s="23">
        <f>AVERAGE(H45:H69)</f>
        <v>0.25810932463842839</v>
      </c>
      <c r="I77" s="23">
        <f>AVERAGE(K45:K69)</f>
        <v>0.52654184315851116</v>
      </c>
      <c r="J77" s="20">
        <f>AVERAGE(N45:N69)</f>
        <v>1.1594435018076883</v>
      </c>
      <c r="L77" s="23">
        <f>AVERAGE(E46:E70)</f>
        <v>-8.2065176453581259E-2</v>
      </c>
      <c r="M77" s="23">
        <f>AVERAGE(H46:H70)</f>
        <v>0.28287778673933028</v>
      </c>
      <c r="N77" s="23">
        <f>AVERAGE(K46:K70)</f>
        <v>0.56004890642077343</v>
      </c>
      <c r="O77" s="20">
        <f>AVERAGE(N46:N70)</f>
        <v>1.0261388258655251</v>
      </c>
    </row>
    <row r="95" spans="1:10" ht="15" thickBot="1" x14ac:dyDescent="0.4"/>
    <row r="96" spans="1:10" ht="15" thickBot="1" x14ac:dyDescent="0.4">
      <c r="A96" s="38" t="s">
        <v>58</v>
      </c>
      <c r="B96" s="67" t="s">
        <v>73</v>
      </c>
      <c r="C96" s="34"/>
      <c r="D96" s="34"/>
      <c r="E96" s="34"/>
      <c r="F96" s="34"/>
      <c r="G96" s="34"/>
      <c r="H96" s="34"/>
      <c r="I96" s="34"/>
      <c r="J96" s="35"/>
    </row>
  </sheetData>
  <autoFilter ref="A1:P70" xr:uid="{383F665D-1465-431F-8743-E58BE0E6390D}"/>
  <mergeCells count="3">
    <mergeCell ref="B73:E73"/>
    <mergeCell ref="G73:J73"/>
    <mergeCell ref="L73:O73"/>
  </mergeCell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A4E008-D5C9-481A-B347-98A041F5DE58}">
  <dimension ref="A2:AO33"/>
  <sheetViews>
    <sheetView topLeftCell="Y1" workbookViewId="0">
      <selection activeCell="AO25" sqref="AO25"/>
    </sheetView>
  </sheetViews>
  <sheetFormatPr defaultRowHeight="14.5" x14ac:dyDescent="0.35"/>
  <cols>
    <col min="1" max="1" width="14.81640625" customWidth="1"/>
    <col min="40" max="40" width="15.6328125" customWidth="1"/>
    <col min="41" max="41" width="17.26953125" customWidth="1"/>
  </cols>
  <sheetData>
    <row r="2" spans="1:41" ht="15" thickBot="1" x14ac:dyDescent="0.4"/>
    <row r="3" spans="1:41" ht="44" thickBot="1" x14ac:dyDescent="0.4">
      <c r="A3" s="74" t="s">
        <v>74</v>
      </c>
      <c r="B3" s="74"/>
      <c r="G3" s="14" t="s">
        <v>0</v>
      </c>
      <c r="H3" s="14" t="s">
        <v>1</v>
      </c>
      <c r="I3" s="14" t="s">
        <v>2</v>
      </c>
      <c r="J3" s="14" t="s">
        <v>3</v>
      </c>
      <c r="K3" s="14" t="s">
        <v>4</v>
      </c>
      <c r="L3" s="14" t="s">
        <v>5</v>
      </c>
      <c r="M3" s="14" t="s">
        <v>6</v>
      </c>
      <c r="N3" s="14" t="s">
        <v>7</v>
      </c>
      <c r="O3" s="14" t="s">
        <v>8</v>
      </c>
      <c r="P3" s="14" t="s">
        <v>9</v>
      </c>
      <c r="Q3" s="14" t="s">
        <v>10</v>
      </c>
      <c r="R3" s="14" t="s">
        <v>11</v>
      </c>
      <c r="S3" s="14" t="s">
        <v>12</v>
      </c>
      <c r="T3" s="14" t="s">
        <v>13</v>
      </c>
      <c r="U3" s="14" t="s">
        <v>14</v>
      </c>
      <c r="V3" s="14" t="s">
        <v>15</v>
      </c>
      <c r="W3" s="14" t="s">
        <v>16</v>
      </c>
      <c r="X3" s="14" t="s">
        <v>17</v>
      </c>
      <c r="Y3" s="14" t="s">
        <v>18</v>
      </c>
      <c r="Z3" s="14" t="s">
        <v>19</v>
      </c>
      <c r="AA3" s="14" t="s">
        <v>20</v>
      </c>
      <c r="AB3" s="14" t="s">
        <v>21</v>
      </c>
      <c r="AC3" s="14" t="s">
        <v>22</v>
      </c>
      <c r="AD3" s="14" t="s">
        <v>23</v>
      </c>
      <c r="AE3" s="14" t="s">
        <v>24</v>
      </c>
      <c r="AF3" s="14" t="s">
        <v>25</v>
      </c>
      <c r="AG3" s="14" t="s">
        <v>26</v>
      </c>
      <c r="AH3" s="14" t="s">
        <v>27</v>
      </c>
      <c r="AI3" s="14" t="s">
        <v>28</v>
      </c>
      <c r="AJ3" s="14" t="s">
        <v>29</v>
      </c>
      <c r="AM3" s="71" t="s">
        <v>77</v>
      </c>
      <c r="AN3" s="71" t="s">
        <v>78</v>
      </c>
      <c r="AO3" s="72" t="s">
        <v>80</v>
      </c>
    </row>
    <row r="4" spans="1:41" ht="26.5" thickBot="1" x14ac:dyDescent="0.4">
      <c r="A4" s="25" t="s">
        <v>75</v>
      </c>
      <c r="B4" s="25" t="s">
        <v>76</v>
      </c>
      <c r="G4" s="1" t="s">
        <v>34</v>
      </c>
      <c r="H4" s="2">
        <v>2021</v>
      </c>
      <c r="I4" s="1" t="s">
        <v>31</v>
      </c>
      <c r="J4" s="2">
        <v>144.9</v>
      </c>
      <c r="K4" s="2">
        <v>190.1</v>
      </c>
      <c r="L4" s="2">
        <v>175.3</v>
      </c>
      <c r="M4" s="2">
        <v>154.1</v>
      </c>
      <c r="N4" s="2">
        <v>150.9</v>
      </c>
      <c r="O4" s="2">
        <v>149.6</v>
      </c>
      <c r="P4" s="2">
        <v>194.2</v>
      </c>
      <c r="Q4" s="2">
        <v>160.4</v>
      </c>
      <c r="R4" s="2">
        <v>114.6</v>
      </c>
      <c r="S4" s="2">
        <v>164</v>
      </c>
      <c r="T4" s="2">
        <v>151.80000000000001</v>
      </c>
      <c r="U4" s="2">
        <v>165.6</v>
      </c>
      <c r="V4" s="2">
        <v>161</v>
      </c>
      <c r="W4" s="2">
        <v>186.5</v>
      </c>
      <c r="X4" s="2">
        <v>155.5</v>
      </c>
      <c r="Y4" s="2">
        <v>146.1</v>
      </c>
      <c r="Z4" s="2">
        <v>154.19999999999999</v>
      </c>
      <c r="AA4" s="2">
        <v>157.69999999999999</v>
      </c>
      <c r="AB4" s="2">
        <v>147.9</v>
      </c>
      <c r="AC4" s="2">
        <v>150</v>
      </c>
      <c r="AD4" s="2">
        <v>159.30000000000001</v>
      </c>
      <c r="AE4" s="2">
        <v>141.9</v>
      </c>
      <c r="AF4" s="2">
        <v>149.6</v>
      </c>
      <c r="AG4" s="2">
        <v>159.19999999999999</v>
      </c>
      <c r="AH4" s="2">
        <v>156.80000000000001</v>
      </c>
      <c r="AI4" s="2">
        <v>151.9</v>
      </c>
      <c r="AJ4" s="2">
        <v>157.30000000000001</v>
      </c>
      <c r="AM4" s="71" t="s">
        <v>3</v>
      </c>
      <c r="AN4" s="25" t="s">
        <v>79</v>
      </c>
      <c r="AO4" s="25">
        <v>0.44017675841832837</v>
      </c>
    </row>
    <row r="5" spans="1:41" ht="26.5" thickBot="1" x14ac:dyDescent="0.4">
      <c r="A5" s="70" t="str">
        <f>_xlfn.CONCAT(I4," ",H4)</f>
        <v>January 2021</v>
      </c>
      <c r="B5" s="25">
        <v>66695.478654874634</v>
      </c>
      <c r="G5" s="1" t="s">
        <v>34</v>
      </c>
      <c r="H5" s="2">
        <v>2021</v>
      </c>
      <c r="I5" s="1" t="s">
        <v>35</v>
      </c>
      <c r="J5" s="2">
        <v>144.30000000000001</v>
      </c>
      <c r="K5" s="2">
        <v>186.5</v>
      </c>
      <c r="L5" s="2">
        <v>168.7</v>
      </c>
      <c r="M5" s="2">
        <v>154.69999999999999</v>
      </c>
      <c r="N5" s="2">
        <v>158.69999999999999</v>
      </c>
      <c r="O5" s="2">
        <v>150.69999999999999</v>
      </c>
      <c r="P5" s="2">
        <v>160</v>
      </c>
      <c r="Q5" s="2">
        <v>158.80000000000001</v>
      </c>
      <c r="R5" s="2">
        <v>112.8</v>
      </c>
      <c r="S5" s="2">
        <v>164.2</v>
      </c>
      <c r="T5" s="2">
        <v>155.5</v>
      </c>
      <c r="U5" s="2">
        <v>167.5</v>
      </c>
      <c r="V5" s="2">
        <v>156.9</v>
      </c>
      <c r="W5" s="2">
        <v>188.3</v>
      </c>
      <c r="X5" s="2">
        <v>157.19999999999999</v>
      </c>
      <c r="Y5" s="2">
        <v>147.4</v>
      </c>
      <c r="Z5" s="2">
        <v>155.80000000000001</v>
      </c>
      <c r="AA5" s="2">
        <v>159.80000000000001</v>
      </c>
      <c r="AB5" s="2">
        <v>152.4</v>
      </c>
      <c r="AC5" s="2">
        <v>150.9</v>
      </c>
      <c r="AD5" s="2">
        <v>161.30000000000001</v>
      </c>
      <c r="AE5" s="2">
        <v>145.1</v>
      </c>
      <c r="AF5" s="2">
        <v>151.5</v>
      </c>
      <c r="AG5" s="2">
        <v>159.5</v>
      </c>
      <c r="AH5" s="2">
        <v>155.80000000000001</v>
      </c>
      <c r="AI5" s="2">
        <v>153.4</v>
      </c>
      <c r="AJ5" s="2">
        <v>156.6</v>
      </c>
      <c r="AM5" s="71" t="s">
        <v>4</v>
      </c>
      <c r="AN5" s="25" t="s">
        <v>79</v>
      </c>
      <c r="AO5" s="25">
        <v>0.7926863839513858</v>
      </c>
    </row>
    <row r="6" spans="1:41" ht="26.5" thickBot="1" x14ac:dyDescent="0.4">
      <c r="A6" s="70" t="str">
        <f t="shared" ref="A6:A33" si="0">_xlfn.CONCAT(I5," ",H5)</f>
        <v>February 2021</v>
      </c>
      <c r="B6" s="25">
        <v>60965.591062388856</v>
      </c>
      <c r="G6" s="1" t="s">
        <v>34</v>
      </c>
      <c r="H6" s="2">
        <v>2021</v>
      </c>
      <c r="I6" s="1" t="s">
        <v>36</v>
      </c>
      <c r="J6" s="2">
        <v>144.1</v>
      </c>
      <c r="K6" s="2">
        <v>192.2</v>
      </c>
      <c r="L6" s="2">
        <v>163.80000000000001</v>
      </c>
      <c r="M6" s="2">
        <v>154.9</v>
      </c>
      <c r="N6" s="2">
        <v>163.9</v>
      </c>
      <c r="O6" s="2">
        <v>153.69999999999999</v>
      </c>
      <c r="P6" s="2">
        <v>149.5</v>
      </c>
      <c r="Q6" s="2">
        <v>159.80000000000001</v>
      </c>
      <c r="R6" s="2">
        <v>112.6</v>
      </c>
      <c r="S6" s="2">
        <v>163.5</v>
      </c>
      <c r="T6" s="2">
        <v>156.5</v>
      </c>
      <c r="U6" s="2">
        <v>168.2</v>
      </c>
      <c r="V6" s="2">
        <v>156.69999999999999</v>
      </c>
      <c r="W6" s="2">
        <v>188.1</v>
      </c>
      <c r="X6" s="2">
        <v>157.80000000000001</v>
      </c>
      <c r="Y6" s="2">
        <v>147.9</v>
      </c>
      <c r="Z6" s="2">
        <v>156.4</v>
      </c>
      <c r="AA6" s="2">
        <v>159.9</v>
      </c>
      <c r="AB6" s="2">
        <v>155.5</v>
      </c>
      <c r="AC6" s="2">
        <v>151.19999999999999</v>
      </c>
      <c r="AD6" s="2">
        <v>161.69999999999999</v>
      </c>
      <c r="AE6" s="2">
        <v>146.19999999999999</v>
      </c>
      <c r="AF6" s="2">
        <v>152.6</v>
      </c>
      <c r="AG6" s="2">
        <v>160.19999999999999</v>
      </c>
      <c r="AH6" s="2">
        <v>153.80000000000001</v>
      </c>
      <c r="AI6" s="2">
        <v>153.80000000000001</v>
      </c>
      <c r="AJ6" s="2">
        <v>156.80000000000001</v>
      </c>
      <c r="AM6" s="71" t="s">
        <v>5</v>
      </c>
      <c r="AN6" s="25" t="s">
        <v>79</v>
      </c>
      <c r="AO6" s="25">
        <v>-8.3230117728398945E-2</v>
      </c>
    </row>
    <row r="7" spans="1:41" ht="26.5" thickBot="1" x14ac:dyDescent="0.4">
      <c r="A7" s="70" t="str">
        <f t="shared" si="0"/>
        <v>March 2021</v>
      </c>
      <c r="B7" s="25">
        <v>75470.774130757563</v>
      </c>
      <c r="G7" s="1" t="s">
        <v>34</v>
      </c>
      <c r="H7" s="2">
        <v>2021</v>
      </c>
      <c r="I7" s="1" t="s">
        <v>37</v>
      </c>
      <c r="J7" s="2">
        <v>144.30000000000001</v>
      </c>
      <c r="K7" s="2">
        <v>198</v>
      </c>
      <c r="L7" s="2">
        <v>164.6</v>
      </c>
      <c r="M7" s="2">
        <v>155.4</v>
      </c>
      <c r="N7" s="2">
        <v>170.1</v>
      </c>
      <c r="O7" s="2">
        <v>164.4</v>
      </c>
      <c r="P7" s="2">
        <v>144.1</v>
      </c>
      <c r="Q7" s="2">
        <v>161.69999999999999</v>
      </c>
      <c r="R7" s="2">
        <v>113.1</v>
      </c>
      <c r="S7" s="2">
        <v>163.9</v>
      </c>
      <c r="T7" s="2">
        <v>157.6</v>
      </c>
      <c r="U7" s="2">
        <v>168.9</v>
      </c>
      <c r="V7" s="2">
        <v>158</v>
      </c>
      <c r="W7" s="2">
        <v>188.8</v>
      </c>
      <c r="X7" s="2">
        <v>158.80000000000001</v>
      </c>
      <c r="Y7" s="2">
        <v>148.5</v>
      </c>
      <c r="Z7" s="2">
        <v>157.30000000000001</v>
      </c>
      <c r="AA7" s="2">
        <v>161.4</v>
      </c>
      <c r="AB7" s="2">
        <v>155.6</v>
      </c>
      <c r="AC7" s="2">
        <v>151.80000000000001</v>
      </c>
      <c r="AD7" s="2">
        <v>162.30000000000001</v>
      </c>
      <c r="AE7" s="2">
        <v>146.6</v>
      </c>
      <c r="AF7" s="2">
        <v>153.19999999999999</v>
      </c>
      <c r="AG7" s="2">
        <v>160.30000000000001</v>
      </c>
      <c r="AH7" s="2">
        <v>155.4</v>
      </c>
      <c r="AI7" s="2">
        <v>154.4</v>
      </c>
      <c r="AJ7" s="2">
        <v>157.80000000000001</v>
      </c>
      <c r="AM7" s="71" t="s">
        <v>6</v>
      </c>
      <c r="AN7" s="25" t="s">
        <v>79</v>
      </c>
      <c r="AO7" s="25">
        <v>0.52801215784440125</v>
      </c>
    </row>
    <row r="8" spans="1:41" ht="26.5" thickBot="1" x14ac:dyDescent="0.4">
      <c r="A8" s="70" t="str">
        <f t="shared" si="0"/>
        <v>April 2021</v>
      </c>
      <c r="B8" s="25">
        <v>74207.645156289771</v>
      </c>
      <c r="G8" s="1" t="s">
        <v>34</v>
      </c>
      <c r="H8" s="2">
        <v>2021</v>
      </c>
      <c r="I8" s="1" t="s">
        <v>38</v>
      </c>
      <c r="J8" s="2">
        <v>146.30000000000001</v>
      </c>
      <c r="K8" s="2">
        <v>200.5</v>
      </c>
      <c r="L8" s="2">
        <v>170.3</v>
      </c>
      <c r="M8" s="2">
        <v>156.1</v>
      </c>
      <c r="N8" s="2">
        <v>178.7</v>
      </c>
      <c r="O8" s="2">
        <v>167.1</v>
      </c>
      <c r="P8" s="2">
        <v>147.9</v>
      </c>
      <c r="Q8" s="2">
        <v>165.4</v>
      </c>
      <c r="R8" s="2">
        <v>114.8</v>
      </c>
      <c r="S8" s="2">
        <v>168.2</v>
      </c>
      <c r="T8" s="2">
        <v>159.30000000000001</v>
      </c>
      <c r="U8" s="2">
        <v>170.4</v>
      </c>
      <c r="V8" s="2">
        <v>160.69999999999999</v>
      </c>
      <c r="W8" s="2">
        <v>191.9</v>
      </c>
      <c r="X8" s="2">
        <v>161.80000000000001</v>
      </c>
      <c r="Y8" s="2">
        <v>152.1</v>
      </c>
      <c r="Z8" s="2">
        <v>160.4</v>
      </c>
      <c r="AA8" s="2">
        <v>161.6</v>
      </c>
      <c r="AB8" s="2">
        <v>159.4</v>
      </c>
      <c r="AC8" s="2">
        <v>154.69999999999999</v>
      </c>
      <c r="AD8" s="2">
        <v>165.8</v>
      </c>
      <c r="AE8" s="2">
        <v>148.9</v>
      </c>
      <c r="AF8" s="2">
        <v>155.80000000000001</v>
      </c>
      <c r="AG8" s="2">
        <v>161.19999999999999</v>
      </c>
      <c r="AH8" s="2">
        <v>158.6</v>
      </c>
      <c r="AI8" s="2">
        <v>156.80000000000001</v>
      </c>
      <c r="AJ8" s="2">
        <v>160.4</v>
      </c>
      <c r="AM8" s="71" t="s">
        <v>7</v>
      </c>
      <c r="AN8" s="25" t="s">
        <v>79</v>
      </c>
      <c r="AO8" s="25">
        <v>0.75137562864761787</v>
      </c>
    </row>
    <row r="9" spans="1:41" ht="26.5" thickBot="1" x14ac:dyDescent="0.4">
      <c r="A9" s="70" t="str">
        <f t="shared" si="0"/>
        <v>May 2021</v>
      </c>
      <c r="B9" s="25">
        <v>70046.397374263441</v>
      </c>
      <c r="G9" s="1" t="s">
        <v>34</v>
      </c>
      <c r="H9" s="2">
        <v>2021</v>
      </c>
      <c r="I9" s="1" t="s">
        <v>39</v>
      </c>
      <c r="J9" s="2">
        <v>146.69999999999999</v>
      </c>
      <c r="K9" s="2">
        <v>202</v>
      </c>
      <c r="L9" s="2">
        <v>180.7</v>
      </c>
      <c r="M9" s="2">
        <v>156.19999999999999</v>
      </c>
      <c r="N9" s="2">
        <v>183.7</v>
      </c>
      <c r="O9" s="2">
        <v>164.6</v>
      </c>
      <c r="P9" s="2">
        <v>155.4</v>
      </c>
      <c r="Q9" s="2">
        <v>166</v>
      </c>
      <c r="R9" s="2">
        <v>115.1</v>
      </c>
      <c r="S9" s="2">
        <v>168.5</v>
      </c>
      <c r="T9" s="2">
        <v>160</v>
      </c>
      <c r="U9" s="2">
        <v>172.4</v>
      </c>
      <c r="V9" s="2">
        <v>162.6</v>
      </c>
      <c r="W9" s="2">
        <v>190.8</v>
      </c>
      <c r="X9" s="2">
        <v>162.19999999999999</v>
      </c>
      <c r="Y9" s="2">
        <v>151.80000000000001</v>
      </c>
      <c r="Z9" s="2">
        <v>160.69999999999999</v>
      </c>
      <c r="AA9" s="2">
        <v>160.5</v>
      </c>
      <c r="AB9" s="2">
        <v>159.80000000000001</v>
      </c>
      <c r="AC9" s="2">
        <v>154.80000000000001</v>
      </c>
      <c r="AD9" s="2">
        <v>166.3</v>
      </c>
      <c r="AE9" s="2">
        <v>150.69999999999999</v>
      </c>
      <c r="AF9" s="2">
        <v>154.9</v>
      </c>
      <c r="AG9" s="2">
        <v>161.69999999999999</v>
      </c>
      <c r="AH9" s="2">
        <v>158.80000000000001</v>
      </c>
      <c r="AI9" s="2">
        <v>157.6</v>
      </c>
      <c r="AJ9" s="2">
        <v>161.30000000000001</v>
      </c>
      <c r="AM9" s="71" t="s">
        <v>8</v>
      </c>
      <c r="AN9" s="25" t="s">
        <v>79</v>
      </c>
      <c r="AO9" s="25">
        <v>0.52580194973218175</v>
      </c>
    </row>
    <row r="10" spans="1:41" ht="26.5" thickBot="1" x14ac:dyDescent="0.4">
      <c r="A10" s="70" t="str">
        <f t="shared" si="0"/>
        <v>June 2021</v>
      </c>
      <c r="B10" s="25">
        <v>71679.348913787879</v>
      </c>
      <c r="G10" s="1" t="s">
        <v>34</v>
      </c>
      <c r="H10" s="2">
        <v>2021</v>
      </c>
      <c r="I10" s="1" t="s">
        <v>40</v>
      </c>
      <c r="J10" s="2">
        <v>146.4</v>
      </c>
      <c r="K10" s="2">
        <v>206.8</v>
      </c>
      <c r="L10" s="2">
        <v>182.2</v>
      </c>
      <c r="M10" s="2">
        <v>157.5</v>
      </c>
      <c r="N10" s="2">
        <v>182.1</v>
      </c>
      <c r="O10" s="2">
        <v>163.9</v>
      </c>
      <c r="P10" s="2">
        <v>164.2</v>
      </c>
      <c r="Q10" s="2">
        <v>164</v>
      </c>
      <c r="R10" s="2">
        <v>114.5</v>
      </c>
      <c r="S10" s="2">
        <v>168.3</v>
      </c>
      <c r="T10" s="2">
        <v>160.9</v>
      </c>
      <c r="U10" s="2">
        <v>172.2</v>
      </c>
      <c r="V10" s="2">
        <v>164</v>
      </c>
      <c r="W10" s="2">
        <v>191.2</v>
      </c>
      <c r="X10" s="2">
        <v>162.80000000000001</v>
      </c>
      <c r="Y10" s="2">
        <v>153.1</v>
      </c>
      <c r="Z10" s="2">
        <v>161.4</v>
      </c>
      <c r="AA10" s="2">
        <v>161.5</v>
      </c>
      <c r="AB10" s="2">
        <v>160.69999999999999</v>
      </c>
      <c r="AC10" s="2">
        <v>155.80000000000001</v>
      </c>
      <c r="AD10" s="2">
        <v>167</v>
      </c>
      <c r="AE10" s="2">
        <v>153.1</v>
      </c>
      <c r="AF10" s="2">
        <v>155.30000000000001</v>
      </c>
      <c r="AG10" s="2">
        <v>163.19999999999999</v>
      </c>
      <c r="AH10" s="2">
        <v>160.1</v>
      </c>
      <c r="AI10" s="2">
        <v>159</v>
      </c>
      <c r="AJ10" s="2">
        <v>162.5</v>
      </c>
      <c r="AM10" s="71" t="s">
        <v>9</v>
      </c>
      <c r="AN10" s="25" t="s">
        <v>79</v>
      </c>
      <c r="AO10" s="25">
        <v>0.32851585542562423</v>
      </c>
    </row>
    <row r="11" spans="1:41" ht="26.5" thickBot="1" x14ac:dyDescent="0.4">
      <c r="A11" s="70" t="str">
        <f t="shared" si="0"/>
        <v>July 2021</v>
      </c>
      <c r="B11" s="25">
        <v>72860.439470110607</v>
      </c>
      <c r="G11" s="1" t="s">
        <v>34</v>
      </c>
      <c r="H11" s="2">
        <v>2021</v>
      </c>
      <c r="I11" s="1" t="s">
        <v>41</v>
      </c>
      <c r="J11" s="2">
        <v>146.6</v>
      </c>
      <c r="K11" s="2">
        <v>204</v>
      </c>
      <c r="L11" s="2">
        <v>172.8</v>
      </c>
      <c r="M11" s="2">
        <v>158.4</v>
      </c>
      <c r="N11" s="2">
        <v>188</v>
      </c>
      <c r="O11" s="2">
        <v>156.80000000000001</v>
      </c>
      <c r="P11" s="2">
        <v>162.19999999999999</v>
      </c>
      <c r="Q11" s="2">
        <v>164.1</v>
      </c>
      <c r="R11" s="2">
        <v>119.7</v>
      </c>
      <c r="S11" s="2">
        <v>168.8</v>
      </c>
      <c r="T11" s="2">
        <v>162.69999999999999</v>
      </c>
      <c r="U11" s="2">
        <v>173.9</v>
      </c>
      <c r="V11" s="2">
        <v>164</v>
      </c>
      <c r="W11" s="2">
        <v>192.1</v>
      </c>
      <c r="X11" s="2">
        <v>164.5</v>
      </c>
      <c r="Y11" s="2">
        <v>155.30000000000001</v>
      </c>
      <c r="Z11" s="2">
        <v>163.19999999999999</v>
      </c>
      <c r="AA11" s="2">
        <v>162.1</v>
      </c>
      <c r="AB11" s="2">
        <v>162.6</v>
      </c>
      <c r="AC11" s="2">
        <v>157.5</v>
      </c>
      <c r="AD11" s="2">
        <v>168.4</v>
      </c>
      <c r="AE11" s="2">
        <v>154</v>
      </c>
      <c r="AF11" s="2">
        <v>157.6</v>
      </c>
      <c r="AG11" s="2">
        <v>163.80000000000001</v>
      </c>
      <c r="AH11" s="2">
        <v>160</v>
      </c>
      <c r="AI11" s="2">
        <v>160</v>
      </c>
      <c r="AJ11" s="2">
        <v>163.19999999999999</v>
      </c>
      <c r="AM11" s="71" t="s">
        <v>10</v>
      </c>
      <c r="AN11" s="25" t="s">
        <v>79</v>
      </c>
      <c r="AO11" s="25">
        <v>0.32272831877671132</v>
      </c>
    </row>
    <row r="12" spans="1:41" ht="26.5" thickBot="1" x14ac:dyDescent="0.4">
      <c r="A12" s="70" t="str">
        <f t="shared" si="0"/>
        <v>August 2021</v>
      </c>
      <c r="B12" s="25">
        <v>80983.015512993996</v>
      </c>
      <c r="G12" s="1" t="s">
        <v>34</v>
      </c>
      <c r="H12" s="2">
        <v>2021</v>
      </c>
      <c r="I12" s="1" t="s">
        <v>42</v>
      </c>
      <c r="J12" s="2">
        <v>146.6</v>
      </c>
      <c r="K12" s="2">
        <v>204</v>
      </c>
      <c r="L12" s="2">
        <v>172.8</v>
      </c>
      <c r="M12" s="2">
        <v>158.4</v>
      </c>
      <c r="N12" s="2">
        <v>188</v>
      </c>
      <c r="O12" s="2">
        <v>156.69999999999999</v>
      </c>
      <c r="P12" s="2">
        <v>162.30000000000001</v>
      </c>
      <c r="Q12" s="2">
        <v>164.1</v>
      </c>
      <c r="R12" s="2">
        <v>119.7</v>
      </c>
      <c r="S12" s="2">
        <v>168.8</v>
      </c>
      <c r="T12" s="2">
        <v>162.69999999999999</v>
      </c>
      <c r="U12" s="2">
        <v>173.9</v>
      </c>
      <c r="V12" s="2">
        <v>164</v>
      </c>
      <c r="W12" s="2">
        <v>192.1</v>
      </c>
      <c r="X12" s="2">
        <v>164.6</v>
      </c>
      <c r="Y12" s="2">
        <v>155.30000000000001</v>
      </c>
      <c r="Z12" s="2">
        <v>163.30000000000001</v>
      </c>
      <c r="AA12" s="2">
        <v>162.1</v>
      </c>
      <c r="AB12" s="2">
        <v>162.6</v>
      </c>
      <c r="AC12" s="2">
        <v>157.5</v>
      </c>
      <c r="AD12" s="2">
        <v>168.4</v>
      </c>
      <c r="AE12" s="2">
        <v>154</v>
      </c>
      <c r="AF12" s="2">
        <v>157.69999999999999</v>
      </c>
      <c r="AG12" s="2">
        <v>163.69999999999999</v>
      </c>
      <c r="AH12" s="2">
        <v>160</v>
      </c>
      <c r="AI12" s="2">
        <v>160</v>
      </c>
      <c r="AJ12" s="2">
        <v>163.19999999999999</v>
      </c>
      <c r="AM12" s="71" t="s">
        <v>11</v>
      </c>
      <c r="AN12" s="25" t="s">
        <v>79</v>
      </c>
      <c r="AO12" s="25">
        <v>0.60898859301652353</v>
      </c>
    </row>
    <row r="13" spans="1:41" ht="26.5" thickBot="1" x14ac:dyDescent="0.4">
      <c r="A13" s="70" t="str">
        <f t="shared" si="0"/>
        <v>September 2021</v>
      </c>
      <c r="B13" s="25">
        <v>83035.173906576631</v>
      </c>
      <c r="G13" s="1" t="s">
        <v>34</v>
      </c>
      <c r="H13" s="2">
        <v>2021</v>
      </c>
      <c r="I13" s="1" t="s">
        <v>43</v>
      </c>
      <c r="J13" s="2">
        <v>147.4</v>
      </c>
      <c r="K13" s="2">
        <v>204.6</v>
      </c>
      <c r="L13" s="2">
        <v>171.2</v>
      </c>
      <c r="M13" s="2">
        <v>158.69999999999999</v>
      </c>
      <c r="N13" s="2">
        <v>190.6</v>
      </c>
      <c r="O13" s="2">
        <v>155.69999999999999</v>
      </c>
      <c r="P13" s="2">
        <v>185.3</v>
      </c>
      <c r="Q13" s="2">
        <v>165.2</v>
      </c>
      <c r="R13" s="2">
        <v>121.9</v>
      </c>
      <c r="S13" s="2">
        <v>169.3</v>
      </c>
      <c r="T13" s="2">
        <v>163.19999999999999</v>
      </c>
      <c r="U13" s="2">
        <v>174.7</v>
      </c>
      <c r="V13" s="2">
        <v>167.7</v>
      </c>
      <c r="W13" s="2">
        <v>192.7</v>
      </c>
      <c r="X13" s="2">
        <v>165.7</v>
      </c>
      <c r="Y13" s="2">
        <v>156.30000000000001</v>
      </c>
      <c r="Z13" s="2">
        <v>164.3</v>
      </c>
      <c r="AA13" s="2">
        <v>163.6</v>
      </c>
      <c r="AB13" s="2">
        <v>164.2</v>
      </c>
      <c r="AC13" s="2">
        <v>158.4</v>
      </c>
      <c r="AD13" s="2">
        <v>169.1</v>
      </c>
      <c r="AE13" s="2">
        <v>155.69999999999999</v>
      </c>
      <c r="AF13" s="2">
        <v>158.6</v>
      </c>
      <c r="AG13" s="2">
        <v>163.9</v>
      </c>
      <c r="AH13" s="2">
        <v>160.80000000000001</v>
      </c>
      <c r="AI13" s="2">
        <v>161</v>
      </c>
      <c r="AJ13" s="2">
        <v>165.5</v>
      </c>
      <c r="AM13" s="71" t="s">
        <v>12</v>
      </c>
      <c r="AN13" s="25" t="s">
        <v>79</v>
      </c>
      <c r="AO13" s="25">
        <v>0.51253296913706503</v>
      </c>
    </row>
    <row r="14" spans="1:41" ht="26.5" thickBot="1" x14ac:dyDescent="0.4">
      <c r="A14" s="70" t="str">
        <f t="shared" si="0"/>
        <v>October 2021</v>
      </c>
      <c r="B14" s="25">
        <v>91471.513995553876</v>
      </c>
      <c r="G14" s="1" t="s">
        <v>34</v>
      </c>
      <c r="H14" s="2">
        <v>2021</v>
      </c>
      <c r="I14" s="1" t="s">
        <v>44</v>
      </c>
      <c r="J14" s="2">
        <v>148.19999999999999</v>
      </c>
      <c r="K14" s="2">
        <v>201.6</v>
      </c>
      <c r="L14" s="2">
        <v>173</v>
      </c>
      <c r="M14" s="2">
        <v>159.30000000000001</v>
      </c>
      <c r="N14" s="2">
        <v>190.1</v>
      </c>
      <c r="O14" s="2">
        <v>156.5</v>
      </c>
      <c r="P14" s="2">
        <v>199.2</v>
      </c>
      <c r="Q14" s="2">
        <v>165.3</v>
      </c>
      <c r="R14" s="2">
        <v>122.4</v>
      </c>
      <c r="S14" s="2">
        <v>169.6</v>
      </c>
      <c r="T14" s="2">
        <v>163.69999999999999</v>
      </c>
      <c r="U14" s="2">
        <v>175.5</v>
      </c>
      <c r="V14" s="2">
        <v>169.7</v>
      </c>
      <c r="W14" s="2">
        <v>192.9</v>
      </c>
      <c r="X14" s="2">
        <v>167.2</v>
      </c>
      <c r="Y14" s="2">
        <v>157.4</v>
      </c>
      <c r="Z14" s="2">
        <v>165.8</v>
      </c>
      <c r="AA14" s="2">
        <v>164.2</v>
      </c>
      <c r="AB14" s="2">
        <v>163.9</v>
      </c>
      <c r="AC14" s="2">
        <v>159.30000000000001</v>
      </c>
      <c r="AD14" s="2">
        <v>169.9</v>
      </c>
      <c r="AE14" s="2">
        <v>154.80000000000001</v>
      </c>
      <c r="AF14" s="2">
        <v>159.80000000000001</v>
      </c>
      <c r="AG14" s="2">
        <v>164.3</v>
      </c>
      <c r="AH14" s="2">
        <v>162.19999999999999</v>
      </c>
      <c r="AI14" s="2">
        <v>161.4</v>
      </c>
      <c r="AJ14" s="2">
        <v>166.7</v>
      </c>
      <c r="AM14" s="71" t="s">
        <v>13</v>
      </c>
      <c r="AN14" s="25" t="s">
        <v>79</v>
      </c>
      <c r="AO14" s="25">
        <v>0.67587166556768097</v>
      </c>
    </row>
    <row r="15" spans="1:41" ht="26.5" thickBot="1" x14ac:dyDescent="0.4">
      <c r="A15" s="70" t="str">
        <f t="shared" si="0"/>
        <v>November 2021</v>
      </c>
      <c r="B15" s="25">
        <v>95105.451863192153</v>
      </c>
      <c r="G15" s="1" t="s">
        <v>34</v>
      </c>
      <c r="H15" s="2">
        <v>2021</v>
      </c>
      <c r="I15" s="1" t="s">
        <v>45</v>
      </c>
      <c r="J15" s="2">
        <v>148.69999999999999</v>
      </c>
      <c r="K15" s="2">
        <v>198.8</v>
      </c>
      <c r="L15" s="2">
        <v>177.9</v>
      </c>
      <c r="M15" s="2">
        <v>159.9</v>
      </c>
      <c r="N15" s="2">
        <v>187.6</v>
      </c>
      <c r="O15" s="2">
        <v>154.9</v>
      </c>
      <c r="P15" s="2">
        <v>188.3</v>
      </c>
      <c r="Q15" s="2">
        <v>164.4</v>
      </c>
      <c r="R15" s="2">
        <v>121</v>
      </c>
      <c r="S15" s="2">
        <v>170.5</v>
      </c>
      <c r="T15" s="2">
        <v>164.2</v>
      </c>
      <c r="U15" s="2">
        <v>176.5</v>
      </c>
      <c r="V15" s="2">
        <v>168.2</v>
      </c>
      <c r="W15" s="2">
        <v>192.4</v>
      </c>
      <c r="X15" s="2">
        <v>168.5</v>
      </c>
      <c r="Y15" s="2">
        <v>158.69999999999999</v>
      </c>
      <c r="Z15" s="2">
        <v>167</v>
      </c>
      <c r="AA15" s="2">
        <v>163.4</v>
      </c>
      <c r="AB15" s="2">
        <v>164.1</v>
      </c>
      <c r="AC15" s="2">
        <v>160.19999999999999</v>
      </c>
      <c r="AD15" s="2">
        <v>170.6</v>
      </c>
      <c r="AE15" s="2">
        <v>155.69999999999999</v>
      </c>
      <c r="AF15" s="2">
        <v>160.6</v>
      </c>
      <c r="AG15" s="2">
        <v>164.4</v>
      </c>
      <c r="AH15" s="2">
        <v>162.6</v>
      </c>
      <c r="AI15" s="2">
        <v>162</v>
      </c>
      <c r="AJ15" s="2">
        <v>166.2</v>
      </c>
      <c r="AM15" s="71" t="s">
        <v>14</v>
      </c>
      <c r="AN15" s="25" t="s">
        <v>79</v>
      </c>
      <c r="AO15" s="25">
        <v>0.63554887759632284</v>
      </c>
    </row>
    <row r="16" spans="1:41" ht="26.5" thickBot="1" x14ac:dyDescent="0.4">
      <c r="A16" s="70" t="str">
        <f t="shared" si="0"/>
        <v>December 2021</v>
      </c>
      <c r="B16" s="25">
        <v>100380.52800837092</v>
      </c>
      <c r="G16" s="1" t="s">
        <v>34</v>
      </c>
      <c r="H16" s="2">
        <v>2022</v>
      </c>
      <c r="I16" s="1" t="s">
        <v>31</v>
      </c>
      <c r="J16" s="2">
        <v>149.5</v>
      </c>
      <c r="K16" s="2">
        <v>198.7</v>
      </c>
      <c r="L16" s="2">
        <v>178.8</v>
      </c>
      <c r="M16" s="2">
        <v>160.5</v>
      </c>
      <c r="N16" s="2">
        <v>184.7</v>
      </c>
      <c r="O16" s="2">
        <v>153.69999999999999</v>
      </c>
      <c r="P16" s="2">
        <v>174.3</v>
      </c>
      <c r="Q16" s="2">
        <v>163.9</v>
      </c>
      <c r="R16" s="2">
        <v>120</v>
      </c>
      <c r="S16" s="2">
        <v>172.1</v>
      </c>
      <c r="T16" s="2">
        <v>164.3</v>
      </c>
      <c r="U16" s="2">
        <v>177.3</v>
      </c>
      <c r="V16" s="2">
        <v>166.4</v>
      </c>
      <c r="W16" s="2">
        <v>192.2</v>
      </c>
      <c r="X16" s="2">
        <v>169.9</v>
      </c>
      <c r="Y16" s="2">
        <v>160.69999999999999</v>
      </c>
      <c r="Z16" s="2">
        <v>168.5</v>
      </c>
      <c r="AA16" s="2">
        <v>164.5</v>
      </c>
      <c r="AB16" s="2">
        <v>164.2</v>
      </c>
      <c r="AC16" s="2">
        <v>161.1</v>
      </c>
      <c r="AD16" s="2">
        <v>171.4</v>
      </c>
      <c r="AE16" s="2">
        <v>156.5</v>
      </c>
      <c r="AF16" s="2">
        <v>161.19999999999999</v>
      </c>
      <c r="AG16" s="2">
        <v>164.7</v>
      </c>
      <c r="AH16" s="2">
        <v>163</v>
      </c>
      <c r="AI16" s="2">
        <v>162.69999999999999</v>
      </c>
      <c r="AJ16" s="2">
        <v>165.7</v>
      </c>
      <c r="AM16" s="71" t="s">
        <v>15</v>
      </c>
      <c r="AN16" s="25" t="s">
        <v>79</v>
      </c>
      <c r="AO16" s="25">
        <v>0.70985767478792183</v>
      </c>
    </row>
    <row r="17" spans="1:41" ht="26.5" thickBot="1" x14ac:dyDescent="0.4">
      <c r="A17" s="70" t="str">
        <f t="shared" si="0"/>
        <v>January 2022</v>
      </c>
      <c r="B17" s="25">
        <v>101828.28887769801</v>
      </c>
      <c r="G17" s="1" t="s">
        <v>34</v>
      </c>
      <c r="H17" s="2">
        <v>2022</v>
      </c>
      <c r="I17" s="1" t="s">
        <v>35</v>
      </c>
      <c r="J17" s="2">
        <v>150</v>
      </c>
      <c r="K17" s="2">
        <v>200.6</v>
      </c>
      <c r="L17" s="2">
        <v>175.8</v>
      </c>
      <c r="M17" s="2">
        <v>160.69999999999999</v>
      </c>
      <c r="N17" s="2">
        <v>184.9</v>
      </c>
      <c r="O17" s="2">
        <v>153.69999999999999</v>
      </c>
      <c r="P17" s="2">
        <v>169.7</v>
      </c>
      <c r="Q17" s="2">
        <v>163.69999999999999</v>
      </c>
      <c r="R17" s="2">
        <v>118.9</v>
      </c>
      <c r="S17" s="2">
        <v>174.3</v>
      </c>
      <c r="T17" s="2">
        <v>164.7</v>
      </c>
      <c r="U17" s="2">
        <v>178</v>
      </c>
      <c r="V17" s="2">
        <v>166.2</v>
      </c>
      <c r="W17" s="2">
        <v>192.8</v>
      </c>
      <c r="X17" s="2">
        <v>170.8</v>
      </c>
      <c r="Y17" s="2">
        <v>162.4</v>
      </c>
      <c r="Z17" s="2">
        <v>169.6</v>
      </c>
      <c r="AA17" s="2">
        <v>165.5</v>
      </c>
      <c r="AB17" s="2">
        <v>165.7</v>
      </c>
      <c r="AC17" s="2">
        <v>161.80000000000001</v>
      </c>
      <c r="AD17" s="2">
        <v>172.2</v>
      </c>
      <c r="AE17" s="2">
        <v>156.9</v>
      </c>
      <c r="AF17" s="2">
        <v>162.1</v>
      </c>
      <c r="AG17" s="2">
        <v>165.4</v>
      </c>
      <c r="AH17" s="2">
        <v>164.4</v>
      </c>
      <c r="AI17" s="2">
        <v>163.5</v>
      </c>
      <c r="AJ17" s="2">
        <v>166.1</v>
      </c>
      <c r="AM17" s="71" t="s">
        <v>16</v>
      </c>
      <c r="AN17" s="25" t="s">
        <v>79</v>
      </c>
      <c r="AO17" s="25">
        <v>0.53257184105749322</v>
      </c>
    </row>
    <row r="18" spans="1:41" ht="26.5" thickBot="1" x14ac:dyDescent="0.4">
      <c r="A18" s="70" t="str">
        <f t="shared" si="0"/>
        <v>February 2022</v>
      </c>
      <c r="B18" s="25">
        <v>102317.68803371425</v>
      </c>
      <c r="G18" s="1" t="s">
        <v>34</v>
      </c>
      <c r="H18" s="2">
        <v>2022</v>
      </c>
      <c r="I18" s="1" t="s">
        <v>36</v>
      </c>
      <c r="J18" s="2">
        <v>151.30000000000001</v>
      </c>
      <c r="K18" s="2">
        <v>210.7</v>
      </c>
      <c r="L18" s="2">
        <v>167.8</v>
      </c>
      <c r="M18" s="2">
        <v>162.19999999999999</v>
      </c>
      <c r="N18" s="2">
        <v>194.6</v>
      </c>
      <c r="O18" s="2">
        <v>157.6</v>
      </c>
      <c r="P18" s="2">
        <v>166.9</v>
      </c>
      <c r="Q18" s="2">
        <v>163.9</v>
      </c>
      <c r="R18" s="2">
        <v>118.8</v>
      </c>
      <c r="S18" s="2">
        <v>177.4</v>
      </c>
      <c r="T18" s="2">
        <v>165.3</v>
      </c>
      <c r="U18" s="2">
        <v>179.3</v>
      </c>
      <c r="V18" s="2">
        <v>168.4</v>
      </c>
      <c r="W18" s="2">
        <v>193.7</v>
      </c>
      <c r="X18" s="2">
        <v>172.1</v>
      </c>
      <c r="Y18" s="2">
        <v>164.6</v>
      </c>
      <c r="Z18" s="2">
        <v>171.1</v>
      </c>
      <c r="AA18" s="2">
        <v>165.3</v>
      </c>
      <c r="AB18" s="2">
        <v>167.2</v>
      </c>
      <c r="AC18" s="2">
        <v>162.80000000000001</v>
      </c>
      <c r="AD18" s="2">
        <v>173</v>
      </c>
      <c r="AE18" s="2">
        <v>157.9</v>
      </c>
      <c r="AF18" s="2">
        <v>163.30000000000001</v>
      </c>
      <c r="AG18" s="2">
        <v>166</v>
      </c>
      <c r="AH18" s="2">
        <v>167.2</v>
      </c>
      <c r="AI18" s="2">
        <v>164.6</v>
      </c>
      <c r="AJ18" s="2">
        <v>167.7</v>
      </c>
      <c r="AM18" s="71" t="s">
        <v>17</v>
      </c>
      <c r="AN18" s="25" t="s">
        <v>79</v>
      </c>
      <c r="AO18" s="25">
        <v>0.66752105424672459</v>
      </c>
    </row>
    <row r="19" spans="1:41" ht="26.5" thickBot="1" x14ac:dyDescent="0.4">
      <c r="A19" s="70" t="str">
        <f t="shared" si="0"/>
        <v>March 2022</v>
      </c>
      <c r="B19" s="25">
        <v>134181.47733497745</v>
      </c>
      <c r="G19" s="1" t="s">
        <v>34</v>
      </c>
      <c r="H19" s="2">
        <v>2022</v>
      </c>
      <c r="I19" s="1" t="s">
        <v>37</v>
      </c>
      <c r="J19" s="2">
        <v>152.9</v>
      </c>
      <c r="K19" s="2">
        <v>211.8</v>
      </c>
      <c r="L19" s="2">
        <v>164.5</v>
      </c>
      <c r="M19" s="2">
        <v>163.9</v>
      </c>
      <c r="N19" s="2">
        <v>199.5</v>
      </c>
      <c r="O19" s="2">
        <v>172.6</v>
      </c>
      <c r="P19" s="2">
        <v>166.2</v>
      </c>
      <c r="Q19" s="2">
        <v>164.7</v>
      </c>
      <c r="R19" s="2">
        <v>119</v>
      </c>
      <c r="S19" s="2">
        <v>181.3</v>
      </c>
      <c r="T19" s="2">
        <v>166.2</v>
      </c>
      <c r="U19" s="2">
        <v>180.9</v>
      </c>
      <c r="V19" s="2">
        <v>170.8</v>
      </c>
      <c r="W19" s="2">
        <v>193.9</v>
      </c>
      <c r="X19" s="2">
        <v>173.9</v>
      </c>
      <c r="Y19" s="2">
        <v>166.5</v>
      </c>
      <c r="Z19" s="2">
        <v>172.8</v>
      </c>
      <c r="AA19" s="2">
        <v>167</v>
      </c>
      <c r="AB19" s="2">
        <v>172.2</v>
      </c>
      <c r="AC19" s="2">
        <v>164</v>
      </c>
      <c r="AD19" s="2">
        <v>174</v>
      </c>
      <c r="AE19" s="2">
        <v>162.6</v>
      </c>
      <c r="AF19" s="2">
        <v>164.4</v>
      </c>
      <c r="AG19" s="2">
        <v>166.9</v>
      </c>
      <c r="AH19" s="2">
        <v>168.8</v>
      </c>
      <c r="AI19" s="2">
        <v>166.8</v>
      </c>
      <c r="AJ19" s="2">
        <v>170.1</v>
      </c>
      <c r="AM19" s="71" t="s">
        <v>18</v>
      </c>
      <c r="AN19" s="25" t="s">
        <v>79</v>
      </c>
      <c r="AO19" s="25">
        <v>0.69262835349824214</v>
      </c>
    </row>
    <row r="20" spans="1:41" ht="26.5" thickBot="1" x14ac:dyDescent="0.4">
      <c r="A20" s="70" t="str">
        <f t="shared" si="0"/>
        <v>April 2022</v>
      </c>
      <c r="B20" s="25">
        <v>151257.77739211501</v>
      </c>
      <c r="G20" s="1" t="s">
        <v>34</v>
      </c>
      <c r="H20" s="2">
        <v>2022</v>
      </c>
      <c r="I20" s="1" t="s">
        <v>38</v>
      </c>
      <c r="J20" s="2">
        <v>154.1</v>
      </c>
      <c r="K20" s="2">
        <v>217</v>
      </c>
      <c r="L20" s="2">
        <v>162.4</v>
      </c>
      <c r="M20" s="2">
        <v>164.9</v>
      </c>
      <c r="N20" s="2">
        <v>202.4</v>
      </c>
      <c r="O20" s="2">
        <v>171</v>
      </c>
      <c r="P20" s="2">
        <v>174.9</v>
      </c>
      <c r="Q20" s="2">
        <v>164.7</v>
      </c>
      <c r="R20" s="2">
        <v>119.7</v>
      </c>
      <c r="S20" s="2">
        <v>184.9</v>
      </c>
      <c r="T20" s="2">
        <v>167.1</v>
      </c>
      <c r="U20" s="2">
        <v>182.5</v>
      </c>
      <c r="V20" s="2">
        <v>173.3</v>
      </c>
      <c r="W20" s="2">
        <v>194.1</v>
      </c>
      <c r="X20" s="2">
        <v>175.6</v>
      </c>
      <c r="Y20" s="2">
        <v>168.4</v>
      </c>
      <c r="Z20" s="2">
        <v>174.6</v>
      </c>
      <c r="AA20" s="2">
        <v>167.5</v>
      </c>
      <c r="AB20" s="2">
        <v>174.6</v>
      </c>
      <c r="AC20" s="2">
        <v>165.2</v>
      </c>
      <c r="AD20" s="2">
        <v>174.8</v>
      </c>
      <c r="AE20" s="2">
        <v>163</v>
      </c>
      <c r="AF20" s="2">
        <v>165.1</v>
      </c>
      <c r="AG20" s="2">
        <v>167.9</v>
      </c>
      <c r="AH20" s="2">
        <v>168.4</v>
      </c>
      <c r="AI20" s="2">
        <v>167.5</v>
      </c>
      <c r="AJ20" s="2">
        <v>171.7</v>
      </c>
      <c r="AM20" s="71" t="s">
        <v>19</v>
      </c>
      <c r="AN20" s="25" t="s">
        <v>79</v>
      </c>
      <c r="AO20" s="25">
        <v>0.67177408699418328</v>
      </c>
    </row>
    <row r="21" spans="1:41" ht="26.5" thickBot="1" x14ac:dyDescent="0.4">
      <c r="A21" s="70" t="str">
        <f t="shared" si="0"/>
        <v>May 2022</v>
      </c>
      <c r="B21" s="25">
        <v>137781.52369026651</v>
      </c>
      <c r="G21" s="1" t="s">
        <v>34</v>
      </c>
      <c r="H21" s="2">
        <v>2022</v>
      </c>
      <c r="I21" s="1" t="s">
        <v>39</v>
      </c>
      <c r="J21" s="2">
        <v>155</v>
      </c>
      <c r="K21" s="2">
        <v>219.4</v>
      </c>
      <c r="L21" s="2">
        <v>170.8</v>
      </c>
      <c r="M21" s="2">
        <v>165.8</v>
      </c>
      <c r="N21" s="2">
        <v>200.9</v>
      </c>
      <c r="O21" s="2">
        <v>169.7</v>
      </c>
      <c r="P21" s="2">
        <v>182.3</v>
      </c>
      <c r="Q21" s="2">
        <v>164.3</v>
      </c>
      <c r="R21" s="2">
        <v>119.9</v>
      </c>
      <c r="S21" s="2">
        <v>187.1</v>
      </c>
      <c r="T21" s="2">
        <v>167.9</v>
      </c>
      <c r="U21" s="2">
        <v>183.9</v>
      </c>
      <c r="V21" s="2">
        <v>174.9</v>
      </c>
      <c r="W21" s="2">
        <v>194.3</v>
      </c>
      <c r="X21" s="2">
        <v>177.1</v>
      </c>
      <c r="Y21" s="2">
        <v>169.9</v>
      </c>
      <c r="Z21" s="2">
        <v>176</v>
      </c>
      <c r="AA21" s="2">
        <v>166.8</v>
      </c>
      <c r="AB21" s="2">
        <v>176</v>
      </c>
      <c r="AC21" s="2">
        <v>166.4</v>
      </c>
      <c r="AD21" s="2">
        <v>175.4</v>
      </c>
      <c r="AE21" s="2">
        <v>161.1</v>
      </c>
      <c r="AF21" s="2">
        <v>165.8</v>
      </c>
      <c r="AG21" s="2">
        <v>169</v>
      </c>
      <c r="AH21" s="2">
        <v>169.4</v>
      </c>
      <c r="AI21" s="2">
        <v>167.5</v>
      </c>
      <c r="AJ21" s="2">
        <v>172.6</v>
      </c>
      <c r="AM21" s="71" t="s">
        <v>20</v>
      </c>
      <c r="AN21" s="25" t="s">
        <v>79</v>
      </c>
      <c r="AO21" s="25">
        <v>0.58292169810517414</v>
      </c>
    </row>
    <row r="22" spans="1:41" ht="26.5" thickBot="1" x14ac:dyDescent="0.4">
      <c r="A22" s="70" t="str">
        <f t="shared" si="0"/>
        <v>June 2022</v>
      </c>
      <c r="B22" s="25">
        <v>140361.99809642398</v>
      </c>
      <c r="G22" s="1" t="s">
        <v>34</v>
      </c>
      <c r="H22" s="2">
        <v>2022</v>
      </c>
      <c r="I22" s="1" t="s">
        <v>40</v>
      </c>
      <c r="J22" s="2">
        <v>156.5</v>
      </c>
      <c r="K22" s="2">
        <v>213</v>
      </c>
      <c r="L22" s="2">
        <v>175.2</v>
      </c>
      <c r="M22" s="2">
        <v>166.6</v>
      </c>
      <c r="N22" s="2">
        <v>195.8</v>
      </c>
      <c r="O22" s="2">
        <v>174.2</v>
      </c>
      <c r="P22" s="2">
        <v>182.1</v>
      </c>
      <c r="Q22" s="2">
        <v>164.3</v>
      </c>
      <c r="R22" s="2">
        <v>120</v>
      </c>
      <c r="S22" s="2">
        <v>190</v>
      </c>
      <c r="T22" s="2">
        <v>168.4</v>
      </c>
      <c r="U22" s="2">
        <v>185.2</v>
      </c>
      <c r="V22" s="2">
        <v>175</v>
      </c>
      <c r="W22" s="2">
        <v>194.6</v>
      </c>
      <c r="X22" s="2">
        <v>178.3</v>
      </c>
      <c r="Y22" s="2">
        <v>171.3</v>
      </c>
      <c r="Z22" s="2">
        <v>177.3</v>
      </c>
      <c r="AA22" s="2">
        <v>167.8</v>
      </c>
      <c r="AB22" s="2">
        <v>179.6</v>
      </c>
      <c r="AC22" s="2">
        <v>167.4</v>
      </c>
      <c r="AD22" s="2">
        <v>176.1</v>
      </c>
      <c r="AE22" s="2">
        <v>161.6</v>
      </c>
      <c r="AF22" s="2">
        <v>166.3</v>
      </c>
      <c r="AG22" s="2">
        <v>171.4</v>
      </c>
      <c r="AH22" s="2">
        <v>169.7</v>
      </c>
      <c r="AI22" s="2">
        <v>168.4</v>
      </c>
      <c r="AJ22" s="2">
        <v>173.4</v>
      </c>
      <c r="AM22" s="71" t="s">
        <v>21</v>
      </c>
      <c r="AN22" s="25" t="s">
        <v>79</v>
      </c>
      <c r="AO22" s="25">
        <v>0.7104715115858139</v>
      </c>
    </row>
    <row r="23" spans="1:41" ht="26.5" thickBot="1" x14ac:dyDescent="0.4">
      <c r="A23" s="70" t="str">
        <f t="shared" si="0"/>
        <v>July 2022</v>
      </c>
      <c r="B23" s="25">
        <v>148619.35499624049</v>
      </c>
      <c r="G23" s="1" t="s">
        <v>34</v>
      </c>
      <c r="H23" s="2">
        <v>2022</v>
      </c>
      <c r="I23" s="1" t="s">
        <v>41</v>
      </c>
      <c r="J23" s="2">
        <v>160.30000000000001</v>
      </c>
      <c r="K23" s="2">
        <v>206.5</v>
      </c>
      <c r="L23" s="2">
        <v>169.2</v>
      </c>
      <c r="M23" s="2">
        <v>168.1</v>
      </c>
      <c r="N23" s="2">
        <v>192.4</v>
      </c>
      <c r="O23" s="2">
        <v>172.9</v>
      </c>
      <c r="P23" s="2">
        <v>186.7</v>
      </c>
      <c r="Q23" s="2">
        <v>167.2</v>
      </c>
      <c r="R23" s="2">
        <v>120.9</v>
      </c>
      <c r="S23" s="2">
        <v>193.6</v>
      </c>
      <c r="T23" s="2">
        <v>168.8</v>
      </c>
      <c r="U23" s="2">
        <v>186.3</v>
      </c>
      <c r="V23" s="2">
        <v>176.3</v>
      </c>
      <c r="W23" s="2">
        <v>195</v>
      </c>
      <c r="X23" s="2">
        <v>179.5</v>
      </c>
      <c r="Y23" s="2">
        <v>172.7</v>
      </c>
      <c r="Z23" s="2">
        <v>178.5</v>
      </c>
      <c r="AA23" s="2">
        <v>169</v>
      </c>
      <c r="AB23" s="2">
        <v>178.8</v>
      </c>
      <c r="AC23" s="2">
        <v>168.5</v>
      </c>
      <c r="AD23" s="2">
        <v>176.8</v>
      </c>
      <c r="AE23" s="2">
        <v>161.9</v>
      </c>
      <c r="AF23" s="2">
        <v>166.9</v>
      </c>
      <c r="AG23" s="2">
        <v>172.3</v>
      </c>
      <c r="AH23" s="2">
        <v>171.2</v>
      </c>
      <c r="AI23" s="2">
        <v>169.1</v>
      </c>
      <c r="AJ23" s="2">
        <v>174.3</v>
      </c>
      <c r="AM23" s="71" t="s">
        <v>22</v>
      </c>
      <c r="AN23" s="25" t="s">
        <v>79</v>
      </c>
      <c r="AO23" s="25">
        <v>0.65447675113762371</v>
      </c>
    </row>
    <row r="24" spans="1:41" ht="26.5" thickBot="1" x14ac:dyDescent="0.4">
      <c r="A24" s="70" t="str">
        <f t="shared" si="0"/>
        <v>August 2022</v>
      </c>
      <c r="B24" s="25">
        <v>120976.19320076992</v>
      </c>
      <c r="G24" s="1" t="s">
        <v>34</v>
      </c>
      <c r="H24" s="2">
        <v>2022</v>
      </c>
      <c r="I24" s="1" t="s">
        <v>42</v>
      </c>
      <c r="J24" s="2">
        <v>163.5</v>
      </c>
      <c r="K24" s="2">
        <v>209.2</v>
      </c>
      <c r="L24" s="2">
        <v>169.7</v>
      </c>
      <c r="M24" s="2">
        <v>169.7</v>
      </c>
      <c r="N24" s="2">
        <v>188.7</v>
      </c>
      <c r="O24" s="2">
        <v>165.7</v>
      </c>
      <c r="P24" s="2">
        <v>191.8</v>
      </c>
      <c r="Q24" s="2">
        <v>169.1</v>
      </c>
      <c r="R24" s="2">
        <v>121.6</v>
      </c>
      <c r="S24" s="2">
        <v>197.3</v>
      </c>
      <c r="T24" s="2">
        <v>169.4</v>
      </c>
      <c r="U24" s="2">
        <v>187.4</v>
      </c>
      <c r="V24" s="2">
        <v>177.8</v>
      </c>
      <c r="W24" s="2">
        <v>195.9</v>
      </c>
      <c r="X24" s="2">
        <v>180.9</v>
      </c>
      <c r="Y24" s="2">
        <v>174.3</v>
      </c>
      <c r="Z24" s="2">
        <v>179.9</v>
      </c>
      <c r="AA24" s="2">
        <v>169.5</v>
      </c>
      <c r="AB24" s="2">
        <v>179.5</v>
      </c>
      <c r="AC24" s="2">
        <v>169.5</v>
      </c>
      <c r="AD24" s="2">
        <v>177.8</v>
      </c>
      <c r="AE24" s="2">
        <v>162.30000000000001</v>
      </c>
      <c r="AF24" s="2">
        <v>167.6</v>
      </c>
      <c r="AG24" s="2">
        <v>173.1</v>
      </c>
      <c r="AH24" s="2">
        <v>170.9</v>
      </c>
      <c r="AI24" s="2">
        <v>169.7</v>
      </c>
      <c r="AJ24" s="2">
        <v>175.3</v>
      </c>
      <c r="AM24" s="71" t="s">
        <v>23</v>
      </c>
      <c r="AN24" s="25" t="s">
        <v>79</v>
      </c>
      <c r="AO24" s="25">
        <v>0.61861423178649055</v>
      </c>
    </row>
    <row r="25" spans="1:41" ht="26.5" thickBot="1" x14ac:dyDescent="0.4">
      <c r="A25" s="70" t="str">
        <f t="shared" si="0"/>
        <v>September 2022</v>
      </c>
      <c r="B25" s="25">
        <v>110015.88104199871</v>
      </c>
      <c r="G25" s="1" t="s">
        <v>34</v>
      </c>
      <c r="H25" s="2">
        <v>2022</v>
      </c>
      <c r="I25" s="1" t="s">
        <v>43</v>
      </c>
      <c r="J25" s="2">
        <v>165.2</v>
      </c>
      <c r="K25" s="2">
        <v>210.9</v>
      </c>
      <c r="L25" s="2">
        <v>170.9</v>
      </c>
      <c r="M25" s="2">
        <v>170.9</v>
      </c>
      <c r="N25" s="2">
        <v>186.5</v>
      </c>
      <c r="O25" s="2">
        <v>163.80000000000001</v>
      </c>
      <c r="P25" s="2">
        <v>199.7</v>
      </c>
      <c r="Q25" s="2">
        <v>169.8</v>
      </c>
      <c r="R25" s="2">
        <v>121.9</v>
      </c>
      <c r="S25" s="2">
        <v>199.9</v>
      </c>
      <c r="T25" s="2">
        <v>169.9</v>
      </c>
      <c r="U25" s="2">
        <v>188.3</v>
      </c>
      <c r="V25" s="2">
        <v>179.6</v>
      </c>
      <c r="W25" s="2">
        <v>196.3</v>
      </c>
      <c r="X25" s="2">
        <v>181.9</v>
      </c>
      <c r="Y25" s="2">
        <v>175.3</v>
      </c>
      <c r="Z25" s="2">
        <v>181</v>
      </c>
      <c r="AA25" s="2">
        <v>171.2</v>
      </c>
      <c r="AB25" s="2">
        <v>180.5</v>
      </c>
      <c r="AC25" s="2">
        <v>170.4</v>
      </c>
      <c r="AD25" s="2">
        <v>178.7</v>
      </c>
      <c r="AE25" s="2">
        <v>162.9</v>
      </c>
      <c r="AF25" s="2">
        <v>168.2</v>
      </c>
      <c r="AG25" s="2">
        <v>173.4</v>
      </c>
      <c r="AH25" s="2">
        <v>172.1</v>
      </c>
      <c r="AI25" s="2">
        <v>170.5</v>
      </c>
      <c r="AJ25" s="2">
        <v>176.7</v>
      </c>
      <c r="AM25" s="71" t="s">
        <v>24</v>
      </c>
      <c r="AN25" s="25" t="s">
        <v>79</v>
      </c>
      <c r="AO25" s="25">
        <v>0.77877919315666566</v>
      </c>
    </row>
    <row r="26" spans="1:41" ht="26.5" thickBot="1" x14ac:dyDescent="0.4">
      <c r="A26" s="70" t="str">
        <f t="shared" si="0"/>
        <v>October 2022</v>
      </c>
      <c r="B26" s="25">
        <v>116548.19734168371</v>
      </c>
      <c r="G26" s="1" t="s">
        <v>34</v>
      </c>
      <c r="H26" s="2">
        <v>2022</v>
      </c>
      <c r="I26" s="1" t="s">
        <v>44</v>
      </c>
      <c r="J26" s="2">
        <v>167.4</v>
      </c>
      <c r="K26" s="2">
        <v>209.4</v>
      </c>
      <c r="L26" s="2">
        <v>181.4</v>
      </c>
      <c r="M26" s="2">
        <v>172.3</v>
      </c>
      <c r="N26" s="2">
        <v>188.9</v>
      </c>
      <c r="O26" s="2">
        <v>160.69999999999999</v>
      </c>
      <c r="P26" s="2">
        <v>183.1</v>
      </c>
      <c r="Q26" s="2">
        <v>170.5</v>
      </c>
      <c r="R26" s="2">
        <v>122.1</v>
      </c>
      <c r="S26" s="2">
        <v>202.8</v>
      </c>
      <c r="T26" s="2">
        <v>170.4</v>
      </c>
      <c r="U26" s="2">
        <v>189.5</v>
      </c>
      <c r="V26" s="2">
        <v>178.3</v>
      </c>
      <c r="W26" s="2">
        <v>196.9</v>
      </c>
      <c r="X26" s="2">
        <v>183.1</v>
      </c>
      <c r="Y26" s="2">
        <v>176.2</v>
      </c>
      <c r="Z26" s="2">
        <v>182.1</v>
      </c>
      <c r="AA26" s="2">
        <v>171.8</v>
      </c>
      <c r="AB26" s="2">
        <v>181.3</v>
      </c>
      <c r="AC26" s="2">
        <v>171.4</v>
      </c>
      <c r="AD26" s="2">
        <v>179.8</v>
      </c>
      <c r="AE26" s="2">
        <v>163</v>
      </c>
      <c r="AF26" s="2">
        <v>168.5</v>
      </c>
      <c r="AG26" s="2">
        <v>173.7</v>
      </c>
      <c r="AH26" s="2">
        <v>173.6</v>
      </c>
      <c r="AI26" s="2">
        <v>171.1</v>
      </c>
      <c r="AJ26" s="2">
        <v>176.5</v>
      </c>
      <c r="AM26" s="71" t="s">
        <v>25</v>
      </c>
      <c r="AN26" s="25" t="s">
        <v>79</v>
      </c>
      <c r="AO26" s="25">
        <v>0.724267270129197</v>
      </c>
    </row>
    <row r="27" spans="1:41" ht="26.5" thickBot="1" x14ac:dyDescent="0.4">
      <c r="A27" s="70" t="str">
        <f t="shared" si="0"/>
        <v>November 2022</v>
      </c>
      <c r="B27" s="25">
        <v>118277.27620134089</v>
      </c>
      <c r="G27" s="1" t="s">
        <v>34</v>
      </c>
      <c r="H27" s="2">
        <v>2022</v>
      </c>
      <c r="I27" s="1" t="s">
        <v>45</v>
      </c>
      <c r="J27" s="2">
        <v>169.2</v>
      </c>
      <c r="K27" s="2">
        <v>209</v>
      </c>
      <c r="L27" s="2">
        <v>190.2</v>
      </c>
      <c r="M27" s="2">
        <v>173.6</v>
      </c>
      <c r="N27" s="2">
        <v>188.5</v>
      </c>
      <c r="O27" s="2">
        <v>158</v>
      </c>
      <c r="P27" s="2">
        <v>159.9</v>
      </c>
      <c r="Q27" s="2">
        <v>170.8</v>
      </c>
      <c r="R27" s="2">
        <v>121.8</v>
      </c>
      <c r="S27" s="2">
        <v>205.2</v>
      </c>
      <c r="T27" s="2">
        <v>171</v>
      </c>
      <c r="U27" s="2">
        <v>190.3</v>
      </c>
      <c r="V27" s="2">
        <v>175.9</v>
      </c>
      <c r="W27" s="2">
        <v>197.3</v>
      </c>
      <c r="X27" s="2">
        <v>184</v>
      </c>
      <c r="Y27" s="2">
        <v>177</v>
      </c>
      <c r="Z27" s="2">
        <v>183</v>
      </c>
      <c r="AA27" s="2">
        <v>170.7</v>
      </c>
      <c r="AB27" s="2">
        <v>182</v>
      </c>
      <c r="AC27" s="2">
        <v>172.1</v>
      </c>
      <c r="AD27" s="2">
        <v>181.1</v>
      </c>
      <c r="AE27" s="2">
        <v>163.4</v>
      </c>
      <c r="AF27" s="2">
        <v>168.9</v>
      </c>
      <c r="AG27" s="2">
        <v>174.1</v>
      </c>
      <c r="AH27" s="2">
        <v>175.8</v>
      </c>
      <c r="AI27" s="2">
        <v>172</v>
      </c>
      <c r="AJ27" s="2">
        <v>175.7</v>
      </c>
      <c r="AM27" s="71" t="s">
        <v>26</v>
      </c>
      <c r="AN27" s="25" t="s">
        <v>79</v>
      </c>
      <c r="AO27" s="25">
        <v>0.59640199467194921</v>
      </c>
    </row>
    <row r="28" spans="1:41" ht="26.5" thickBot="1" x14ac:dyDescent="0.4">
      <c r="A28" s="70" t="str">
        <f t="shared" si="0"/>
        <v>December 2022</v>
      </c>
      <c r="B28" s="25">
        <v>112095.477543425</v>
      </c>
      <c r="G28" s="1" t="s">
        <v>34</v>
      </c>
      <c r="H28" s="2">
        <v>2023</v>
      </c>
      <c r="I28" s="1" t="s">
        <v>31</v>
      </c>
      <c r="J28" s="2">
        <v>173.8</v>
      </c>
      <c r="K28" s="2">
        <v>210.7</v>
      </c>
      <c r="L28" s="2">
        <v>194.5</v>
      </c>
      <c r="M28" s="2">
        <v>174.6</v>
      </c>
      <c r="N28" s="2">
        <v>187.2</v>
      </c>
      <c r="O28" s="2">
        <v>158.30000000000001</v>
      </c>
      <c r="P28" s="2">
        <v>153.9</v>
      </c>
      <c r="Q28" s="2">
        <v>170.9</v>
      </c>
      <c r="R28" s="2">
        <v>121.1</v>
      </c>
      <c r="S28" s="2">
        <v>208.4</v>
      </c>
      <c r="T28" s="2">
        <v>171.4</v>
      </c>
      <c r="U28" s="2">
        <v>191.2</v>
      </c>
      <c r="V28" s="2">
        <v>176.7</v>
      </c>
      <c r="W28" s="2">
        <v>198.2</v>
      </c>
      <c r="X28" s="2">
        <v>184.9</v>
      </c>
      <c r="Y28" s="2">
        <v>177.6</v>
      </c>
      <c r="Z28" s="2">
        <v>183.8</v>
      </c>
      <c r="AA28" s="2">
        <v>172.1</v>
      </c>
      <c r="AB28" s="2">
        <v>182</v>
      </c>
      <c r="AC28" s="2">
        <v>172.9</v>
      </c>
      <c r="AD28" s="2">
        <v>182.3</v>
      </c>
      <c r="AE28" s="2">
        <v>163.6</v>
      </c>
      <c r="AF28" s="2">
        <v>169.5</v>
      </c>
      <c r="AG28" s="2">
        <v>174.3</v>
      </c>
      <c r="AH28" s="2">
        <v>178.6</v>
      </c>
      <c r="AI28" s="2">
        <v>172.8</v>
      </c>
      <c r="AJ28" s="2">
        <v>176.5</v>
      </c>
      <c r="AM28" s="71" t="s">
        <v>27</v>
      </c>
      <c r="AN28" s="25" t="s">
        <v>79</v>
      </c>
      <c r="AO28" s="25">
        <v>0.55942828642482112</v>
      </c>
    </row>
    <row r="29" spans="1:41" ht="26.5" thickBot="1" x14ac:dyDescent="0.4">
      <c r="A29" s="70" t="str">
        <f t="shared" si="0"/>
        <v>January 2023</v>
      </c>
      <c r="B29" s="25">
        <v>108892.9652336391</v>
      </c>
      <c r="G29" s="1" t="s">
        <v>34</v>
      </c>
      <c r="H29" s="2">
        <v>2023</v>
      </c>
      <c r="I29" s="1" t="s">
        <v>35</v>
      </c>
      <c r="J29" s="2">
        <v>174.4</v>
      </c>
      <c r="K29" s="2">
        <v>207.7</v>
      </c>
      <c r="L29" s="2">
        <v>175.2</v>
      </c>
      <c r="M29" s="2">
        <v>177.3</v>
      </c>
      <c r="N29" s="2">
        <v>179.3</v>
      </c>
      <c r="O29" s="2">
        <v>169.5</v>
      </c>
      <c r="P29" s="2">
        <v>152.69999999999999</v>
      </c>
      <c r="Q29" s="2">
        <v>171</v>
      </c>
      <c r="R29" s="2">
        <v>120</v>
      </c>
      <c r="S29" s="2">
        <v>209.7</v>
      </c>
      <c r="T29" s="2">
        <v>172.3</v>
      </c>
      <c r="U29" s="2">
        <v>193</v>
      </c>
      <c r="V29" s="2">
        <v>177</v>
      </c>
      <c r="W29" s="2">
        <v>199.5</v>
      </c>
      <c r="X29" s="2">
        <v>186.2</v>
      </c>
      <c r="Y29" s="2">
        <v>178.7</v>
      </c>
      <c r="Z29" s="2">
        <v>185.1</v>
      </c>
      <c r="AA29" s="2">
        <v>173.5</v>
      </c>
      <c r="AB29" s="2">
        <v>182.1</v>
      </c>
      <c r="AC29" s="2">
        <v>174.2</v>
      </c>
      <c r="AD29" s="2">
        <v>184.4</v>
      </c>
      <c r="AE29" s="2">
        <v>164.2</v>
      </c>
      <c r="AF29" s="2">
        <v>170.3</v>
      </c>
      <c r="AG29" s="2">
        <v>175</v>
      </c>
      <c r="AH29" s="2">
        <v>181</v>
      </c>
      <c r="AI29" s="2">
        <v>174.1</v>
      </c>
      <c r="AJ29" s="2">
        <v>177.2</v>
      </c>
      <c r="AM29" s="71" t="s">
        <v>28</v>
      </c>
      <c r="AN29" s="25" t="s">
        <v>79</v>
      </c>
      <c r="AO29" s="25">
        <v>0.6757403412646209</v>
      </c>
    </row>
    <row r="30" spans="1:41" ht="26.5" thickBot="1" x14ac:dyDescent="0.4">
      <c r="A30" s="70" t="str">
        <f t="shared" si="0"/>
        <v>February 2023</v>
      </c>
      <c r="B30" s="25">
        <v>103743.50619254357</v>
      </c>
      <c r="G30" s="1" t="s">
        <v>34</v>
      </c>
      <c r="H30" s="2">
        <v>2023</v>
      </c>
      <c r="I30" s="1" t="s">
        <v>36</v>
      </c>
      <c r="J30" s="2">
        <v>174.4</v>
      </c>
      <c r="K30" s="2">
        <v>207.7</v>
      </c>
      <c r="L30" s="2">
        <v>175.2</v>
      </c>
      <c r="M30" s="2">
        <v>177.3</v>
      </c>
      <c r="N30" s="2">
        <v>179.2</v>
      </c>
      <c r="O30" s="2">
        <v>169.5</v>
      </c>
      <c r="P30" s="2">
        <v>152.80000000000001</v>
      </c>
      <c r="Q30" s="2">
        <v>171.1</v>
      </c>
      <c r="R30" s="2">
        <v>120</v>
      </c>
      <c r="S30" s="2">
        <v>209.7</v>
      </c>
      <c r="T30" s="2">
        <v>172.3</v>
      </c>
      <c r="U30" s="2">
        <v>193</v>
      </c>
      <c r="V30" s="2">
        <v>177</v>
      </c>
      <c r="W30" s="2">
        <v>199.5</v>
      </c>
      <c r="X30" s="2">
        <v>186.1</v>
      </c>
      <c r="Y30" s="2">
        <v>178.7</v>
      </c>
      <c r="Z30" s="2">
        <v>185.1</v>
      </c>
      <c r="AA30" s="2">
        <v>173.5</v>
      </c>
      <c r="AB30" s="2">
        <v>181.9</v>
      </c>
      <c r="AC30" s="2">
        <v>174.2</v>
      </c>
      <c r="AD30" s="2">
        <v>184.4</v>
      </c>
      <c r="AE30" s="2">
        <v>164.2</v>
      </c>
      <c r="AF30" s="2">
        <v>170.3</v>
      </c>
      <c r="AG30" s="2">
        <v>175</v>
      </c>
      <c r="AH30" s="2">
        <v>181</v>
      </c>
      <c r="AI30" s="2">
        <v>174.1</v>
      </c>
      <c r="AJ30" s="2">
        <v>177.2</v>
      </c>
    </row>
    <row r="31" spans="1:41" ht="26.5" thickBot="1" x14ac:dyDescent="0.4">
      <c r="A31" s="70" t="str">
        <f t="shared" si="0"/>
        <v>March 2023</v>
      </c>
      <c r="B31" s="25">
        <v>107655.66151560735</v>
      </c>
      <c r="G31" s="1" t="s">
        <v>34</v>
      </c>
      <c r="H31" s="2">
        <v>2023</v>
      </c>
      <c r="I31" s="1" t="s">
        <v>37</v>
      </c>
      <c r="J31" s="2">
        <v>173.8</v>
      </c>
      <c r="K31" s="2">
        <v>209.3</v>
      </c>
      <c r="L31" s="2">
        <v>169.6</v>
      </c>
      <c r="M31" s="2">
        <v>178.4</v>
      </c>
      <c r="N31" s="2">
        <v>174.9</v>
      </c>
      <c r="O31" s="2">
        <v>176.3</v>
      </c>
      <c r="P31" s="2">
        <v>155.4</v>
      </c>
      <c r="Q31" s="2">
        <v>173.4</v>
      </c>
      <c r="R31" s="2">
        <v>121.3</v>
      </c>
      <c r="S31" s="2">
        <v>212.9</v>
      </c>
      <c r="T31" s="2">
        <v>172.9</v>
      </c>
      <c r="U31" s="2">
        <v>193.5</v>
      </c>
      <c r="V31" s="2">
        <v>177.9</v>
      </c>
      <c r="W31" s="2">
        <v>200.6</v>
      </c>
      <c r="X31" s="2">
        <v>186.9</v>
      </c>
      <c r="Y31" s="2">
        <v>179.2</v>
      </c>
      <c r="Z31" s="2">
        <v>185.7</v>
      </c>
      <c r="AA31" s="2">
        <v>175.2</v>
      </c>
      <c r="AB31" s="2">
        <v>181.7</v>
      </c>
      <c r="AC31" s="2">
        <v>174.6</v>
      </c>
      <c r="AD31" s="2">
        <v>185</v>
      </c>
      <c r="AE31" s="2">
        <v>164.5</v>
      </c>
      <c r="AF31" s="2">
        <v>170.7</v>
      </c>
      <c r="AG31" s="2">
        <v>176.4</v>
      </c>
      <c r="AH31" s="2">
        <v>184</v>
      </c>
      <c r="AI31" s="2">
        <v>175</v>
      </c>
      <c r="AJ31" s="2">
        <v>178.1</v>
      </c>
    </row>
    <row r="32" spans="1:41" ht="26.5" thickBot="1" x14ac:dyDescent="0.4">
      <c r="A32" s="70" t="str">
        <f t="shared" si="0"/>
        <v>April 2023</v>
      </c>
      <c r="B32" s="25">
        <v>101450.65404893839</v>
      </c>
      <c r="G32" s="1" t="s">
        <v>34</v>
      </c>
      <c r="H32" s="2">
        <v>2023</v>
      </c>
      <c r="I32" s="1" t="s">
        <v>38</v>
      </c>
      <c r="J32" s="2">
        <v>173.7</v>
      </c>
      <c r="K32" s="2">
        <v>214.3</v>
      </c>
      <c r="L32" s="2">
        <v>173.2</v>
      </c>
      <c r="M32" s="2">
        <v>179.5</v>
      </c>
      <c r="N32" s="2">
        <v>170</v>
      </c>
      <c r="O32" s="2">
        <v>172.2</v>
      </c>
      <c r="P32" s="2">
        <v>161</v>
      </c>
      <c r="Q32" s="2">
        <v>175.6</v>
      </c>
      <c r="R32" s="2">
        <v>122.7</v>
      </c>
      <c r="S32" s="2">
        <v>218</v>
      </c>
      <c r="T32" s="2">
        <v>173.4</v>
      </c>
      <c r="U32" s="2">
        <v>194.2</v>
      </c>
      <c r="V32" s="2">
        <v>179.1</v>
      </c>
      <c r="W32" s="2">
        <v>201</v>
      </c>
      <c r="X32" s="2">
        <v>187.3</v>
      </c>
      <c r="Y32" s="2">
        <v>179.7</v>
      </c>
      <c r="Z32" s="2">
        <v>186.2</v>
      </c>
      <c r="AA32" s="2">
        <v>175.6</v>
      </c>
      <c r="AB32" s="2">
        <v>182.8</v>
      </c>
      <c r="AC32" s="2">
        <v>175.2</v>
      </c>
      <c r="AD32" s="2">
        <v>185.7</v>
      </c>
      <c r="AE32" s="2">
        <v>164.8</v>
      </c>
      <c r="AF32" s="2">
        <v>171.2</v>
      </c>
      <c r="AG32" s="2">
        <v>177.1</v>
      </c>
      <c r="AH32" s="2">
        <v>185.2</v>
      </c>
      <c r="AI32" s="2">
        <v>175.7</v>
      </c>
      <c r="AJ32" s="2">
        <v>179.1</v>
      </c>
    </row>
    <row r="33" spans="1:36" x14ac:dyDescent="0.35">
      <c r="A33" s="70" t="str">
        <f t="shared" si="0"/>
        <v>May 2023</v>
      </c>
      <c r="B33" s="25">
        <v>103373.22868018913</v>
      </c>
      <c r="J33">
        <f>CORREL(J4:J32,$B$5:$B$33)</f>
        <v>0.44017675841832837</v>
      </c>
      <c r="K33">
        <f>CORREL(K4:K32,$B$5:$B$33)</f>
        <v>0.7926863839513858</v>
      </c>
      <c r="L33">
        <f t="shared" ref="L33:AJ33" si="1">CORREL(L4:L32,$B$5:$B$33)</f>
        <v>-8.3230117728398945E-2</v>
      </c>
      <c r="M33">
        <f t="shared" si="1"/>
        <v>0.52801215784440125</v>
      </c>
      <c r="N33">
        <f t="shared" si="1"/>
        <v>0.75137562864761787</v>
      </c>
      <c r="O33">
        <f t="shared" si="1"/>
        <v>0.52580194973218175</v>
      </c>
      <c r="P33">
        <f t="shared" si="1"/>
        <v>0.32851585542562423</v>
      </c>
      <c r="Q33">
        <f t="shared" si="1"/>
        <v>0.32272831877671132</v>
      </c>
      <c r="R33">
        <f t="shared" si="1"/>
        <v>0.60898859301652353</v>
      </c>
      <c r="S33">
        <f t="shared" si="1"/>
        <v>0.51253296913706503</v>
      </c>
      <c r="T33">
        <f t="shared" si="1"/>
        <v>0.67587166556768097</v>
      </c>
      <c r="U33">
        <f t="shared" si="1"/>
        <v>0.63554887759632284</v>
      </c>
      <c r="V33">
        <f t="shared" si="1"/>
        <v>0.70985767478792183</v>
      </c>
      <c r="W33">
        <f t="shared" si="1"/>
        <v>0.53257184105749322</v>
      </c>
      <c r="X33">
        <f t="shared" si="1"/>
        <v>0.66752105424672459</v>
      </c>
      <c r="Y33">
        <f t="shared" si="1"/>
        <v>0.69262835349824214</v>
      </c>
      <c r="Z33">
        <f t="shared" si="1"/>
        <v>0.67177408699418328</v>
      </c>
      <c r="AA33">
        <f t="shared" si="1"/>
        <v>0.58292169810517414</v>
      </c>
      <c r="AB33">
        <f t="shared" si="1"/>
        <v>0.7104715115858139</v>
      </c>
      <c r="AC33">
        <f t="shared" si="1"/>
        <v>0.65447675113762371</v>
      </c>
      <c r="AD33">
        <f t="shared" si="1"/>
        <v>0.61861423178649055</v>
      </c>
      <c r="AE33">
        <f t="shared" si="1"/>
        <v>0.77877919315666566</v>
      </c>
      <c r="AF33">
        <f t="shared" si="1"/>
        <v>0.724267270129197</v>
      </c>
      <c r="AG33">
        <f t="shared" si="1"/>
        <v>0.59640199467194921</v>
      </c>
      <c r="AH33">
        <f t="shared" si="1"/>
        <v>0.55942828642482112</v>
      </c>
      <c r="AI33">
        <f t="shared" si="1"/>
        <v>0.6757403412646209</v>
      </c>
      <c r="AJ33">
        <f t="shared" si="1"/>
        <v>0.6953956424209542</v>
      </c>
    </row>
  </sheetData>
  <mergeCells count="1">
    <mergeCell ref="A3:B3"/>
  </mergeCells>
  <conditionalFormatting sqref="AO4:AO2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Raw Data</vt:lpstr>
      <vt:lpstr>Clean Data</vt:lpstr>
      <vt:lpstr>Working Data</vt:lpstr>
      <vt:lpstr>Bucket</vt:lpstr>
      <vt:lpstr>Impute housing Missing Value</vt:lpstr>
      <vt:lpstr>Question 1st</vt:lpstr>
      <vt:lpstr>Question 2nd</vt:lpstr>
      <vt:lpstr>Question 3 -a</vt:lpstr>
      <vt:lpstr>Question 3 -b</vt:lpstr>
      <vt:lpstr>Question 4</vt:lpstr>
      <vt:lpstr>Question 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DEEPANKAR VERMA</dc:creator>
  <cp:lastModifiedBy>DEEPANKAR VERMA</cp:lastModifiedBy>
  <dcterms:created xsi:type="dcterms:W3CDTF">2026-02-17T15:56:53Z</dcterms:created>
  <dcterms:modified xsi:type="dcterms:W3CDTF">2026-09-29T04:13:07Z</dcterms:modified>
</cp:coreProperties>
</file>